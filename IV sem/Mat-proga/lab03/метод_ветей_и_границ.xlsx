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7E6FF0D0-670A-42AE-B539-4156DE76C4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0" i="1" l="1"/>
  <c r="H63" i="1"/>
  <c r="P40" i="1"/>
  <c r="F64" i="1"/>
  <c r="E93" i="1"/>
  <c r="H91" i="1"/>
  <c r="O98" i="1"/>
  <c r="N98" i="1"/>
  <c r="P97" i="1"/>
  <c r="P98" i="1" s="1"/>
  <c r="O101" i="1" s="1"/>
  <c r="P96" i="1"/>
  <c r="P68" i="1"/>
  <c r="G93" i="1"/>
  <c r="F93" i="1"/>
  <c r="H92" i="1"/>
  <c r="H90" i="1"/>
  <c r="H93" i="1" s="1"/>
  <c r="F101" i="1" s="1"/>
  <c r="O70" i="1"/>
  <c r="N70" i="1"/>
  <c r="M70" i="1"/>
  <c r="P69" i="1"/>
  <c r="P67" i="1"/>
  <c r="P70" i="1" s="1"/>
  <c r="N74" i="1" s="1"/>
  <c r="G64" i="1"/>
  <c r="E64" i="1"/>
  <c r="D64" i="1"/>
  <c r="H62" i="1"/>
  <c r="H61" i="1"/>
  <c r="H60" i="1"/>
  <c r="O42" i="1"/>
  <c r="N42" i="1"/>
  <c r="M42" i="1"/>
  <c r="L42" i="1"/>
  <c r="P41" i="1"/>
  <c r="P39" i="1"/>
  <c r="P38" i="1"/>
  <c r="G35" i="1"/>
  <c r="F35" i="1"/>
  <c r="E35" i="1"/>
  <c r="D35" i="1"/>
  <c r="C35" i="1"/>
  <c r="H34" i="1"/>
  <c r="H33" i="1"/>
  <c r="H32" i="1"/>
  <c r="H31" i="1"/>
  <c r="H30" i="1"/>
  <c r="H7" i="1"/>
  <c r="H6" i="1"/>
  <c r="H5" i="1"/>
  <c r="H4" i="1"/>
  <c r="H3" i="1"/>
  <c r="H64" i="1" l="1"/>
  <c r="E74" i="1" s="1"/>
  <c r="P42" i="1"/>
  <c r="H35" i="1"/>
  <c r="J13" i="1"/>
  <c r="D45" i="1" l="1"/>
  <c r="M45" i="1"/>
</calcChain>
</file>

<file path=xl/sharedStrings.xml><?xml version="1.0" encoding="utf-8"?>
<sst xmlns="http://schemas.openxmlformats.org/spreadsheetml/2006/main" count="104" uniqueCount="34">
  <si>
    <t>∞</t>
  </si>
  <si>
    <t>di</t>
  </si>
  <si>
    <t>0(8)</t>
  </si>
  <si>
    <t>Отрезки</t>
  </si>
  <si>
    <t>Длина</t>
  </si>
  <si>
    <t>1-&gt;5</t>
  </si>
  <si>
    <t>5-&gt;4</t>
  </si>
  <si>
    <t xml:space="preserve">H = </t>
  </si>
  <si>
    <t>0(3)</t>
  </si>
  <si>
    <t>0(12)</t>
  </si>
  <si>
    <t>0(89)</t>
  </si>
  <si>
    <t>0(6)</t>
  </si>
  <si>
    <t>Не включаем маршрут 5-4</t>
  </si>
  <si>
    <t>Включаем маршрут 5-4</t>
  </si>
  <si>
    <t>h(5*,4*)=</t>
  </si>
  <si>
    <t>h(5,4)=</t>
  </si>
  <si>
    <t>Мы включаем маршрут 5-4, так как h(5,4) дешевле, чем h(5*,4*)</t>
  </si>
  <si>
    <t>Не включаем маршрут 4-3</t>
  </si>
  <si>
    <t>Включаем маршрут 4-3</t>
  </si>
  <si>
    <t>h(4*,3*)=</t>
  </si>
  <si>
    <t>h(4,3)=</t>
  </si>
  <si>
    <t>Мы включаем маршрут 4-3, так как h(4,3) дешевле, чем h(4*,3*)</t>
  </si>
  <si>
    <t>0(49)</t>
  </si>
  <si>
    <t>0(80)</t>
  </si>
  <si>
    <t>Не включаем маршрут 2-1</t>
  </si>
  <si>
    <t>Включаем маршрут 2-1</t>
  </si>
  <si>
    <t>h(2*,1*)=</t>
  </si>
  <si>
    <t>h(2,1)=</t>
  </si>
  <si>
    <t>Мы включаем маршрут 2-1, так как h(2,1) дешевле, чем h(2*,1*)</t>
  </si>
  <si>
    <t>2-&gt;1</t>
  </si>
  <si>
    <t>4-&gt;3</t>
  </si>
  <si>
    <t>3-&gt;2</t>
  </si>
  <si>
    <t>Мы включаем маршрут 1-5 и 3-2</t>
  </si>
  <si>
    <t>Оптимальный маршрут: 1-5-4-3-2-1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</si>
</sst>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BDC1C6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4" borderId="1" xfId="0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16" fontId="0" fillId="2" borderId="1" xfId="0" applyNumberFormat="1" applyFill="1" applyBorder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275074</xdr:colOff>
      <xdr:row>127</xdr:row>
      <xdr:rowOff>114418</xdr:rowOff>
    </xdr:from>
    <xdr:to>
      <xdr:col>23</xdr:col>
      <xdr:colOff>60158</xdr:colOff>
      <xdr:row>159</xdr:row>
      <xdr:rowOff>140368</xdr:rowOff>
    </xdr:to>
    <xdr:grpSp>
      <xdr:nvGrpSpPr>
        <xdr:cNvPr id="28" name="Группа 27">
          <a:extLst>
            <a:ext uri="{FF2B5EF4-FFF2-40B4-BE49-F238E27FC236}">
              <a16:creationId xmlns:a16="http://schemas.microsoft.com/office/drawing/2014/main" id="{8FCF5DD8-F3FB-5AF3-DF69-B8D9C6EEEF0A}"/>
            </a:ext>
          </a:extLst>
        </xdr:cNvPr>
        <xdr:cNvGrpSpPr/>
      </xdr:nvGrpSpPr>
      <xdr:grpSpPr>
        <a:xfrm>
          <a:off x="881002" y="23433454"/>
          <a:ext cx="13115493" cy="5901613"/>
          <a:chOff x="8426333" y="27942252"/>
          <a:chExt cx="20249943" cy="8172862"/>
        </a:xfrm>
      </xdr:grpSpPr>
      <xdr:sp macro="" textlink="">
        <xdr:nvSpPr>
          <xdr:cNvPr id="4" name="Прямоугольник 3">
            <a:extLst>
              <a:ext uri="{FF2B5EF4-FFF2-40B4-BE49-F238E27FC236}">
                <a16:creationId xmlns:a16="http://schemas.microsoft.com/office/drawing/2014/main" id="{EACFE515-E69E-6B4F-6062-DA4CCFF43824}"/>
              </a:ext>
            </a:extLst>
          </xdr:cNvPr>
          <xdr:cNvSpPr/>
        </xdr:nvSpPr>
        <xdr:spPr>
          <a:xfrm>
            <a:off x="11491556" y="27942252"/>
            <a:ext cx="1737833" cy="628296"/>
          </a:xfrm>
          <a:prstGeom prst="rect">
            <a:avLst/>
          </a:prstGeom>
          <a:solidFill>
            <a:schemeClr val="bg1"/>
          </a:solidFill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ru-RU" sz="900">
                <a:solidFill>
                  <a:schemeClr val="tx1"/>
                </a:solidFill>
              </a:rPr>
              <a:t>Корень дерева 61</a:t>
            </a:r>
            <a:endParaRPr lang="ru-BY" sz="900">
              <a:solidFill>
                <a:schemeClr val="tx1"/>
              </a:solidFill>
            </a:endParaRPr>
          </a:p>
        </xdr:txBody>
      </xdr:sp>
      <xdr:sp macro="" textlink="">
        <xdr:nvSpPr>
          <xdr:cNvPr id="6" name="Прямоугольник 5">
            <a:extLst>
              <a:ext uri="{FF2B5EF4-FFF2-40B4-BE49-F238E27FC236}">
                <a16:creationId xmlns:a16="http://schemas.microsoft.com/office/drawing/2014/main" id="{5BE559B3-E7F2-4F8B-93D6-14CE3B93DF1A}"/>
              </a:ext>
            </a:extLst>
          </xdr:cNvPr>
          <xdr:cNvSpPr/>
        </xdr:nvSpPr>
        <xdr:spPr>
          <a:xfrm>
            <a:off x="8426333" y="29539137"/>
            <a:ext cx="1737833" cy="619700"/>
          </a:xfrm>
          <a:prstGeom prst="rect">
            <a:avLst/>
          </a:prstGeom>
          <a:solidFill>
            <a:schemeClr val="bg1"/>
          </a:solidFill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ru-RU" sz="900">
                <a:solidFill>
                  <a:schemeClr val="tx1"/>
                </a:solidFill>
              </a:rPr>
              <a:t>Отрезок (5*,4*)</a:t>
            </a:r>
          </a:p>
          <a:p>
            <a:pPr algn="ctr"/>
            <a:r>
              <a:rPr lang="ru-RU" sz="900">
                <a:solidFill>
                  <a:schemeClr val="tx1"/>
                </a:solidFill>
              </a:rPr>
              <a:t>152</a:t>
            </a:r>
            <a:endParaRPr lang="ru-BY" sz="900">
              <a:solidFill>
                <a:schemeClr val="tx1"/>
              </a:solidFill>
            </a:endParaRPr>
          </a:p>
        </xdr:txBody>
      </xdr:sp>
      <xdr:sp macro="" textlink="">
        <xdr:nvSpPr>
          <xdr:cNvPr id="8" name="Стрелка: вниз 7">
            <a:extLst>
              <a:ext uri="{FF2B5EF4-FFF2-40B4-BE49-F238E27FC236}">
                <a16:creationId xmlns:a16="http://schemas.microsoft.com/office/drawing/2014/main" id="{182731F6-3567-647A-3708-2FC5D069E5B3}"/>
              </a:ext>
            </a:extLst>
          </xdr:cNvPr>
          <xdr:cNvSpPr/>
        </xdr:nvSpPr>
        <xdr:spPr>
          <a:xfrm rot="2734898">
            <a:off x="10563907" y="28504429"/>
            <a:ext cx="504826" cy="1367730"/>
          </a:xfrm>
          <a:prstGeom prst="downArrow">
            <a:avLst/>
          </a:prstGeom>
          <a:solidFill>
            <a:srgbClr val="FF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BY" sz="900"/>
          </a:p>
        </xdr:txBody>
      </xdr:sp>
      <xdr:sp macro="" textlink="">
        <xdr:nvSpPr>
          <xdr:cNvPr id="9" name="Прямоугольник 8">
            <a:extLst>
              <a:ext uri="{FF2B5EF4-FFF2-40B4-BE49-F238E27FC236}">
                <a16:creationId xmlns:a16="http://schemas.microsoft.com/office/drawing/2014/main" id="{789AD745-7FB2-40D1-B57D-D21D4FCEA082}"/>
              </a:ext>
            </a:extLst>
          </xdr:cNvPr>
          <xdr:cNvSpPr/>
        </xdr:nvSpPr>
        <xdr:spPr>
          <a:xfrm>
            <a:off x="14599668" y="29458822"/>
            <a:ext cx="1737526" cy="628297"/>
          </a:xfrm>
          <a:prstGeom prst="rect">
            <a:avLst/>
          </a:prstGeom>
          <a:solidFill>
            <a:schemeClr val="bg1"/>
          </a:solidFill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ru-RU" sz="900">
                <a:solidFill>
                  <a:schemeClr val="tx1"/>
                </a:solidFill>
              </a:rPr>
              <a:t>Отрезок (5,4)</a:t>
            </a:r>
          </a:p>
          <a:p>
            <a:pPr algn="ctr"/>
            <a:r>
              <a:rPr lang="ru-RU" sz="900">
                <a:solidFill>
                  <a:schemeClr val="tx1"/>
                </a:solidFill>
              </a:rPr>
              <a:t>63</a:t>
            </a:r>
            <a:endParaRPr lang="ru-BY" sz="900">
              <a:solidFill>
                <a:schemeClr val="tx1"/>
              </a:solidFill>
            </a:endParaRPr>
          </a:p>
        </xdr:txBody>
      </xdr:sp>
      <xdr:sp macro="" textlink="">
        <xdr:nvSpPr>
          <xdr:cNvPr id="10" name="Стрелка: вниз 9">
            <a:extLst>
              <a:ext uri="{FF2B5EF4-FFF2-40B4-BE49-F238E27FC236}">
                <a16:creationId xmlns:a16="http://schemas.microsoft.com/office/drawing/2014/main" id="{5D487B8C-6D56-4EA9-918F-40348847515D}"/>
              </a:ext>
            </a:extLst>
          </xdr:cNvPr>
          <xdr:cNvSpPr/>
        </xdr:nvSpPr>
        <xdr:spPr>
          <a:xfrm rot="18547560">
            <a:off x="13672049" y="28405847"/>
            <a:ext cx="513422" cy="1368038"/>
          </a:xfrm>
          <a:prstGeom prst="downArrow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BY" sz="900"/>
          </a:p>
        </xdr:txBody>
      </xdr:sp>
      <xdr:sp macro="" textlink="">
        <xdr:nvSpPr>
          <xdr:cNvPr id="11" name="Прямоугольник 10">
            <a:extLst>
              <a:ext uri="{FF2B5EF4-FFF2-40B4-BE49-F238E27FC236}">
                <a16:creationId xmlns:a16="http://schemas.microsoft.com/office/drawing/2014/main" id="{050D096D-B7B4-420E-A44B-8862629F8F1D}"/>
              </a:ext>
            </a:extLst>
          </xdr:cNvPr>
          <xdr:cNvSpPr/>
        </xdr:nvSpPr>
        <xdr:spPr>
          <a:xfrm>
            <a:off x="11493796" y="31071395"/>
            <a:ext cx="1737833" cy="619700"/>
          </a:xfrm>
          <a:prstGeom prst="rect">
            <a:avLst/>
          </a:prstGeom>
          <a:solidFill>
            <a:schemeClr val="bg1"/>
          </a:solidFill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ru-RU" sz="900">
                <a:solidFill>
                  <a:schemeClr val="tx1"/>
                </a:solidFill>
              </a:rPr>
              <a:t>Отрезок (4*,3*)</a:t>
            </a:r>
          </a:p>
          <a:p>
            <a:pPr algn="ctr"/>
            <a:r>
              <a:rPr lang="ru-RU" sz="900">
                <a:solidFill>
                  <a:schemeClr val="tx1"/>
                </a:solidFill>
              </a:rPr>
              <a:t>75</a:t>
            </a:r>
            <a:endParaRPr lang="ru-BY" sz="900">
              <a:solidFill>
                <a:schemeClr val="tx1"/>
              </a:solidFill>
            </a:endParaRPr>
          </a:p>
        </xdr:txBody>
      </xdr:sp>
      <xdr:sp macro="" textlink="">
        <xdr:nvSpPr>
          <xdr:cNvPr id="12" name="Стрелка: вниз 11">
            <a:extLst>
              <a:ext uri="{FF2B5EF4-FFF2-40B4-BE49-F238E27FC236}">
                <a16:creationId xmlns:a16="http://schemas.microsoft.com/office/drawing/2014/main" id="{7B3FFFDD-94FB-4A4D-A4D5-19402A413D2E}"/>
              </a:ext>
            </a:extLst>
          </xdr:cNvPr>
          <xdr:cNvSpPr/>
        </xdr:nvSpPr>
        <xdr:spPr>
          <a:xfrm rot="2734898">
            <a:off x="13631524" y="30036534"/>
            <a:ext cx="504825" cy="1368038"/>
          </a:xfrm>
          <a:prstGeom prst="downArrow">
            <a:avLst/>
          </a:prstGeom>
          <a:solidFill>
            <a:srgbClr val="FF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BY" sz="900"/>
          </a:p>
        </xdr:txBody>
      </xdr:sp>
      <xdr:sp macro="" textlink="">
        <xdr:nvSpPr>
          <xdr:cNvPr id="13" name="Прямоугольник 12">
            <a:extLst>
              <a:ext uri="{FF2B5EF4-FFF2-40B4-BE49-F238E27FC236}">
                <a16:creationId xmlns:a16="http://schemas.microsoft.com/office/drawing/2014/main" id="{7ED933E0-E6B9-4971-98E8-E35ABFC608C0}"/>
              </a:ext>
            </a:extLst>
          </xdr:cNvPr>
          <xdr:cNvSpPr/>
        </xdr:nvSpPr>
        <xdr:spPr>
          <a:xfrm>
            <a:off x="17667132" y="30991080"/>
            <a:ext cx="1737833" cy="628297"/>
          </a:xfrm>
          <a:prstGeom prst="rect">
            <a:avLst/>
          </a:prstGeom>
          <a:solidFill>
            <a:schemeClr val="bg1"/>
          </a:solidFill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ru-RU" sz="900">
                <a:solidFill>
                  <a:schemeClr val="tx1"/>
                </a:solidFill>
              </a:rPr>
              <a:t>Отрезок (4,3)</a:t>
            </a:r>
          </a:p>
          <a:p>
            <a:pPr algn="ctr"/>
            <a:r>
              <a:rPr lang="ru-RU" sz="900">
                <a:solidFill>
                  <a:schemeClr val="tx1"/>
                </a:solidFill>
              </a:rPr>
              <a:t>63</a:t>
            </a:r>
            <a:endParaRPr lang="ru-BY" sz="900">
              <a:solidFill>
                <a:schemeClr val="tx1"/>
              </a:solidFill>
            </a:endParaRPr>
          </a:p>
        </xdr:txBody>
      </xdr:sp>
      <xdr:sp macro="" textlink="">
        <xdr:nvSpPr>
          <xdr:cNvPr id="14" name="Стрелка: вниз 13">
            <a:extLst>
              <a:ext uri="{FF2B5EF4-FFF2-40B4-BE49-F238E27FC236}">
                <a16:creationId xmlns:a16="http://schemas.microsoft.com/office/drawing/2014/main" id="{2C5987E8-6B89-4DF1-8B2E-B78E7145786A}"/>
              </a:ext>
            </a:extLst>
          </xdr:cNvPr>
          <xdr:cNvSpPr/>
        </xdr:nvSpPr>
        <xdr:spPr>
          <a:xfrm rot="18547560">
            <a:off x="16739513" y="29938105"/>
            <a:ext cx="513422" cy="1368038"/>
          </a:xfrm>
          <a:prstGeom prst="downArrow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BY" sz="900"/>
          </a:p>
        </xdr:txBody>
      </xdr:sp>
      <xdr:sp macro="" textlink="">
        <xdr:nvSpPr>
          <xdr:cNvPr id="15" name="Прямоугольник 14">
            <a:extLst>
              <a:ext uri="{FF2B5EF4-FFF2-40B4-BE49-F238E27FC236}">
                <a16:creationId xmlns:a16="http://schemas.microsoft.com/office/drawing/2014/main" id="{248F0176-3D47-422F-B6D1-6C3AE0BD05C8}"/>
              </a:ext>
            </a:extLst>
          </xdr:cNvPr>
          <xdr:cNvSpPr/>
        </xdr:nvSpPr>
        <xdr:spPr>
          <a:xfrm>
            <a:off x="14673627" y="32603654"/>
            <a:ext cx="1737834" cy="619700"/>
          </a:xfrm>
          <a:prstGeom prst="rect">
            <a:avLst/>
          </a:prstGeom>
          <a:solidFill>
            <a:schemeClr val="bg1"/>
          </a:solidFill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ru-RU" sz="900">
                <a:solidFill>
                  <a:schemeClr val="tx1"/>
                </a:solidFill>
              </a:rPr>
              <a:t>Отрезок (2*,1*)</a:t>
            </a:r>
          </a:p>
          <a:p>
            <a:pPr algn="ctr"/>
            <a:r>
              <a:rPr lang="ru-RU" sz="900">
                <a:solidFill>
                  <a:schemeClr val="tx1"/>
                </a:solidFill>
              </a:rPr>
              <a:t>143</a:t>
            </a:r>
            <a:endParaRPr lang="ru-BY" sz="900">
              <a:solidFill>
                <a:schemeClr val="tx1"/>
              </a:solidFill>
            </a:endParaRPr>
          </a:p>
        </xdr:txBody>
      </xdr:sp>
      <xdr:sp macro="" textlink="">
        <xdr:nvSpPr>
          <xdr:cNvPr id="16" name="Стрелка: вниз 15">
            <a:extLst>
              <a:ext uri="{FF2B5EF4-FFF2-40B4-BE49-F238E27FC236}">
                <a16:creationId xmlns:a16="http://schemas.microsoft.com/office/drawing/2014/main" id="{9A0A0768-3F38-4416-8508-052274B7E07F}"/>
              </a:ext>
            </a:extLst>
          </xdr:cNvPr>
          <xdr:cNvSpPr/>
        </xdr:nvSpPr>
        <xdr:spPr>
          <a:xfrm rot="2734898">
            <a:off x="16806904" y="31573245"/>
            <a:ext cx="513422" cy="1367730"/>
          </a:xfrm>
          <a:prstGeom prst="downArrow">
            <a:avLst/>
          </a:prstGeom>
          <a:solidFill>
            <a:srgbClr val="FF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BY" sz="900"/>
          </a:p>
        </xdr:txBody>
      </xdr:sp>
      <xdr:sp macro="" textlink="">
        <xdr:nvSpPr>
          <xdr:cNvPr id="17" name="Прямоугольник 16">
            <a:extLst>
              <a:ext uri="{FF2B5EF4-FFF2-40B4-BE49-F238E27FC236}">
                <a16:creationId xmlns:a16="http://schemas.microsoft.com/office/drawing/2014/main" id="{53D60D35-26F0-448F-B055-74F956F91FCA}"/>
              </a:ext>
            </a:extLst>
          </xdr:cNvPr>
          <xdr:cNvSpPr/>
        </xdr:nvSpPr>
        <xdr:spPr>
          <a:xfrm>
            <a:off x="20846656" y="32531936"/>
            <a:ext cx="1737833" cy="619700"/>
          </a:xfrm>
          <a:prstGeom prst="rect">
            <a:avLst/>
          </a:prstGeom>
          <a:solidFill>
            <a:schemeClr val="bg1"/>
          </a:solidFill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ru-RU" sz="900">
                <a:solidFill>
                  <a:schemeClr val="tx1"/>
                </a:solidFill>
              </a:rPr>
              <a:t>Отрезок (2,1)</a:t>
            </a:r>
          </a:p>
          <a:p>
            <a:pPr algn="ctr"/>
            <a:r>
              <a:rPr lang="ru-RU" sz="900">
                <a:solidFill>
                  <a:schemeClr val="tx1"/>
                </a:solidFill>
              </a:rPr>
              <a:t>64</a:t>
            </a:r>
            <a:endParaRPr lang="ru-BY" sz="900">
              <a:solidFill>
                <a:schemeClr val="tx1"/>
              </a:solidFill>
            </a:endParaRPr>
          </a:p>
        </xdr:txBody>
      </xdr:sp>
      <xdr:sp macro="" textlink="">
        <xdr:nvSpPr>
          <xdr:cNvPr id="18" name="Стрелка: вниз 17">
            <a:extLst>
              <a:ext uri="{FF2B5EF4-FFF2-40B4-BE49-F238E27FC236}">
                <a16:creationId xmlns:a16="http://schemas.microsoft.com/office/drawing/2014/main" id="{64C0C18E-5C90-44CA-AE08-06ADADD3603E}"/>
              </a:ext>
            </a:extLst>
          </xdr:cNvPr>
          <xdr:cNvSpPr/>
        </xdr:nvSpPr>
        <xdr:spPr>
          <a:xfrm rot="18547560">
            <a:off x="19919190" y="31470518"/>
            <a:ext cx="513423" cy="1367731"/>
          </a:xfrm>
          <a:prstGeom prst="downArrow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BY" sz="900"/>
          </a:p>
        </xdr:txBody>
      </xdr:sp>
      <xdr:sp macro="" textlink="">
        <xdr:nvSpPr>
          <xdr:cNvPr id="24" name="Прямоугольник 23">
            <a:extLst>
              <a:ext uri="{FF2B5EF4-FFF2-40B4-BE49-F238E27FC236}">
                <a16:creationId xmlns:a16="http://schemas.microsoft.com/office/drawing/2014/main" id="{2E7E991B-FCAF-4E17-8592-AA7730BBCFB1}"/>
              </a:ext>
            </a:extLst>
          </xdr:cNvPr>
          <xdr:cNvSpPr/>
        </xdr:nvSpPr>
        <xdr:spPr>
          <a:xfrm>
            <a:off x="23933545" y="34001250"/>
            <a:ext cx="1737833" cy="617091"/>
          </a:xfrm>
          <a:prstGeom prst="rect">
            <a:avLst/>
          </a:prstGeom>
          <a:solidFill>
            <a:schemeClr val="bg1"/>
          </a:solidFill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ru-RU" sz="900">
                <a:solidFill>
                  <a:schemeClr val="tx1"/>
                </a:solidFill>
              </a:rPr>
              <a:t>Отрезок (1,5)</a:t>
            </a:r>
          </a:p>
          <a:p>
            <a:pPr algn="ctr"/>
            <a:r>
              <a:rPr lang="ru-RU" sz="900">
                <a:solidFill>
                  <a:schemeClr val="tx1"/>
                </a:solidFill>
              </a:rPr>
              <a:t>хз</a:t>
            </a:r>
            <a:endParaRPr lang="ru-BY" sz="900">
              <a:solidFill>
                <a:schemeClr val="tx1"/>
              </a:solidFill>
            </a:endParaRPr>
          </a:p>
        </xdr:txBody>
      </xdr:sp>
      <xdr:sp macro="" textlink="">
        <xdr:nvSpPr>
          <xdr:cNvPr id="25" name="Стрелка: вниз 24">
            <a:extLst>
              <a:ext uri="{FF2B5EF4-FFF2-40B4-BE49-F238E27FC236}">
                <a16:creationId xmlns:a16="http://schemas.microsoft.com/office/drawing/2014/main" id="{86AEFD4D-BD0C-45F7-9DF7-C2B2A0DD1BCB}"/>
              </a:ext>
            </a:extLst>
          </xdr:cNvPr>
          <xdr:cNvSpPr/>
        </xdr:nvSpPr>
        <xdr:spPr>
          <a:xfrm rot="18547560">
            <a:off x="23006079" y="32937222"/>
            <a:ext cx="513422" cy="1367732"/>
          </a:xfrm>
          <a:prstGeom prst="downArrow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BY" sz="900"/>
          </a:p>
        </xdr:txBody>
      </xdr:sp>
      <xdr:sp macro="" textlink="">
        <xdr:nvSpPr>
          <xdr:cNvPr id="26" name="Прямоугольник 25">
            <a:extLst>
              <a:ext uri="{FF2B5EF4-FFF2-40B4-BE49-F238E27FC236}">
                <a16:creationId xmlns:a16="http://schemas.microsoft.com/office/drawing/2014/main" id="{2085EC66-D837-476E-B344-64F5F96B99EF}"/>
              </a:ext>
            </a:extLst>
          </xdr:cNvPr>
          <xdr:cNvSpPr/>
        </xdr:nvSpPr>
        <xdr:spPr>
          <a:xfrm>
            <a:off x="26938443" y="35498023"/>
            <a:ext cx="1737833" cy="617091"/>
          </a:xfrm>
          <a:prstGeom prst="rect">
            <a:avLst/>
          </a:prstGeom>
          <a:solidFill>
            <a:schemeClr val="bg1"/>
          </a:solidFill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ru-RU" sz="900">
                <a:solidFill>
                  <a:schemeClr val="tx1"/>
                </a:solidFill>
              </a:rPr>
              <a:t>Отрезок (3,2)</a:t>
            </a:r>
          </a:p>
          <a:p>
            <a:pPr algn="ctr"/>
            <a:r>
              <a:rPr lang="ru-RU" sz="900">
                <a:solidFill>
                  <a:schemeClr val="tx1"/>
                </a:solidFill>
              </a:rPr>
              <a:t>хз</a:t>
            </a:r>
            <a:endParaRPr lang="ru-BY" sz="900">
              <a:solidFill>
                <a:schemeClr val="tx1"/>
              </a:solidFill>
            </a:endParaRPr>
          </a:p>
        </xdr:txBody>
      </xdr:sp>
      <xdr:sp macro="" textlink="">
        <xdr:nvSpPr>
          <xdr:cNvPr id="27" name="Стрелка: вниз 26">
            <a:extLst>
              <a:ext uri="{FF2B5EF4-FFF2-40B4-BE49-F238E27FC236}">
                <a16:creationId xmlns:a16="http://schemas.microsoft.com/office/drawing/2014/main" id="{B7390AF3-E184-4212-A40B-7B5ED91262B5}"/>
              </a:ext>
            </a:extLst>
          </xdr:cNvPr>
          <xdr:cNvSpPr/>
        </xdr:nvSpPr>
        <xdr:spPr>
          <a:xfrm rot="18547560">
            <a:off x="26010978" y="34433995"/>
            <a:ext cx="513422" cy="1367731"/>
          </a:xfrm>
          <a:prstGeom prst="downArrow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BY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23"/>
  <sheetViews>
    <sheetView tabSelected="1" topLeftCell="A86" zoomScale="83" workbookViewId="0">
      <selection activeCell="S97" sqref="S97"/>
    </sheetView>
  </sheetViews>
  <sheetFormatPr defaultRowHeight="14.4" x14ac:dyDescent="0.3"/>
  <sheetData>
    <row r="2" spans="2:10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t="s">
        <v>1</v>
      </c>
    </row>
    <row r="3" spans="2:10" x14ac:dyDescent="0.3">
      <c r="B3">
        <v>1</v>
      </c>
      <c r="C3" s="2" t="s">
        <v>0</v>
      </c>
      <c r="D3" s="2">
        <v>6</v>
      </c>
      <c r="E3" s="2">
        <v>24</v>
      </c>
      <c r="F3" s="2" t="s">
        <v>0</v>
      </c>
      <c r="G3" s="2">
        <v>3</v>
      </c>
      <c r="H3" s="6">
        <f>MIN(C3:G3)</f>
        <v>3</v>
      </c>
    </row>
    <row r="4" spans="2:10" x14ac:dyDescent="0.3">
      <c r="B4">
        <v>2</v>
      </c>
      <c r="C4" s="2">
        <v>3</v>
      </c>
      <c r="D4" s="3" t="s">
        <v>0</v>
      </c>
      <c r="E4" s="2">
        <v>18</v>
      </c>
      <c r="F4" s="2">
        <v>65</v>
      </c>
      <c r="G4" s="2">
        <v>81</v>
      </c>
      <c r="H4" s="6">
        <f t="shared" ref="H4:H7" si="0">MIN(C4:G4)</f>
        <v>3</v>
      </c>
    </row>
    <row r="5" spans="2:10" x14ac:dyDescent="0.3">
      <c r="B5">
        <v>3</v>
      </c>
      <c r="C5" s="2">
        <v>5</v>
      </c>
      <c r="D5" s="2">
        <v>9</v>
      </c>
      <c r="E5" s="2" t="s">
        <v>0</v>
      </c>
      <c r="F5" s="2">
        <v>86</v>
      </c>
      <c r="G5" s="2">
        <v>52</v>
      </c>
      <c r="H5" s="6">
        <f t="shared" si="0"/>
        <v>5</v>
      </c>
    </row>
    <row r="6" spans="2:10" x14ac:dyDescent="0.3">
      <c r="B6">
        <v>4</v>
      </c>
      <c r="C6" s="2">
        <v>20</v>
      </c>
      <c r="D6" s="2">
        <v>55</v>
      </c>
      <c r="E6" s="2">
        <v>12</v>
      </c>
      <c r="F6" s="2" t="s">
        <v>0</v>
      </c>
      <c r="G6" s="2">
        <v>9</v>
      </c>
      <c r="H6" s="6">
        <f t="shared" si="0"/>
        <v>9</v>
      </c>
    </row>
    <row r="7" spans="2:10" x14ac:dyDescent="0.3">
      <c r="B7">
        <v>5</v>
      </c>
      <c r="C7" s="2">
        <v>90</v>
      </c>
      <c r="D7" s="2">
        <v>69</v>
      </c>
      <c r="E7" s="2">
        <v>52</v>
      </c>
      <c r="F7" s="2">
        <v>16</v>
      </c>
      <c r="G7" s="2" t="s">
        <v>0</v>
      </c>
      <c r="H7" s="6">
        <f t="shared" si="0"/>
        <v>16</v>
      </c>
    </row>
    <row r="10" spans="2:10" x14ac:dyDescent="0.3">
      <c r="C10" s="1">
        <v>1</v>
      </c>
      <c r="D10" s="1">
        <v>2</v>
      </c>
      <c r="E10" s="1">
        <v>3</v>
      </c>
      <c r="F10" s="1">
        <v>4</v>
      </c>
      <c r="G10" s="1">
        <v>5</v>
      </c>
    </row>
    <row r="11" spans="2:10" x14ac:dyDescent="0.3">
      <c r="B11">
        <v>1</v>
      </c>
      <c r="C11" s="2" t="s">
        <v>0</v>
      </c>
      <c r="D11" s="2">
        <v>3</v>
      </c>
      <c r="E11" s="2">
        <v>21</v>
      </c>
      <c r="F11" s="2" t="s">
        <v>0</v>
      </c>
      <c r="G11" s="2">
        <v>0</v>
      </c>
    </row>
    <row r="12" spans="2:10" x14ac:dyDescent="0.3">
      <c r="B12">
        <v>2</v>
      </c>
      <c r="C12" s="2">
        <v>0</v>
      </c>
      <c r="D12" s="3" t="s">
        <v>0</v>
      </c>
      <c r="E12" s="2">
        <v>15</v>
      </c>
      <c r="F12" s="2">
        <v>62</v>
      </c>
      <c r="G12" s="2">
        <v>78</v>
      </c>
    </row>
    <row r="13" spans="2:10" x14ac:dyDescent="0.3">
      <c r="B13">
        <v>3</v>
      </c>
      <c r="C13" s="2">
        <v>2</v>
      </c>
      <c r="D13" s="2">
        <v>6</v>
      </c>
      <c r="E13" s="2" t="s">
        <v>0</v>
      </c>
      <c r="F13" s="2">
        <v>83</v>
      </c>
      <c r="G13" s="2">
        <v>49</v>
      </c>
      <c r="I13" t="s">
        <v>7</v>
      </c>
      <c r="J13">
        <f>SUM(H3:H7,C16:G16)</f>
        <v>61</v>
      </c>
    </row>
    <row r="14" spans="2:10" x14ac:dyDescent="0.3">
      <c r="B14">
        <v>4</v>
      </c>
      <c r="C14" s="2">
        <v>17</v>
      </c>
      <c r="D14" s="2">
        <v>52</v>
      </c>
      <c r="E14" s="2">
        <v>9</v>
      </c>
      <c r="F14" s="2" t="s">
        <v>0</v>
      </c>
      <c r="G14" s="2">
        <v>6</v>
      </c>
    </row>
    <row r="15" spans="2:10" x14ac:dyDescent="0.3">
      <c r="B15">
        <v>5</v>
      </c>
      <c r="C15" s="2">
        <v>87</v>
      </c>
      <c r="D15" s="2">
        <v>66</v>
      </c>
      <c r="E15" s="2">
        <v>49</v>
      </c>
      <c r="F15" s="2">
        <v>13</v>
      </c>
      <c r="G15" s="2" t="s">
        <v>0</v>
      </c>
    </row>
    <row r="16" spans="2:10" x14ac:dyDescent="0.3">
      <c r="C16" s="6">
        <v>0</v>
      </c>
      <c r="D16" s="6">
        <v>3</v>
      </c>
      <c r="E16" s="6">
        <v>9</v>
      </c>
      <c r="F16" s="6">
        <v>13</v>
      </c>
      <c r="G16" s="6">
        <v>0</v>
      </c>
    </row>
    <row r="19" spans="2:16" x14ac:dyDescent="0.3">
      <c r="C19" s="1">
        <v>1</v>
      </c>
      <c r="D19" s="1">
        <v>2</v>
      </c>
      <c r="E19" s="1">
        <v>3</v>
      </c>
      <c r="F19" s="1">
        <v>4</v>
      </c>
      <c r="G19" s="1">
        <v>5</v>
      </c>
    </row>
    <row r="20" spans="2:16" x14ac:dyDescent="0.3">
      <c r="B20">
        <v>1</v>
      </c>
      <c r="C20" s="2" t="s">
        <v>0</v>
      </c>
      <c r="D20" s="7" t="s">
        <v>8</v>
      </c>
      <c r="E20" s="2">
        <v>13</v>
      </c>
      <c r="F20" s="2" t="s">
        <v>0</v>
      </c>
      <c r="G20" s="7" t="s">
        <v>11</v>
      </c>
    </row>
    <row r="21" spans="2:16" x14ac:dyDescent="0.3">
      <c r="B21">
        <v>2</v>
      </c>
      <c r="C21" s="7" t="s">
        <v>2</v>
      </c>
      <c r="D21" s="3" t="s">
        <v>0</v>
      </c>
      <c r="E21" s="2">
        <v>6</v>
      </c>
      <c r="F21" s="2">
        <v>49</v>
      </c>
      <c r="G21" s="2">
        <v>78</v>
      </c>
    </row>
    <row r="22" spans="2:16" x14ac:dyDescent="0.3">
      <c r="B22">
        <v>3</v>
      </c>
      <c r="C22" s="2">
        <v>2</v>
      </c>
      <c r="D22" s="2">
        <v>3</v>
      </c>
      <c r="E22" s="2" t="s">
        <v>0</v>
      </c>
      <c r="F22" s="2">
        <v>70</v>
      </c>
      <c r="G22" s="2">
        <v>49</v>
      </c>
    </row>
    <row r="23" spans="2:16" x14ac:dyDescent="0.3">
      <c r="B23">
        <v>4</v>
      </c>
      <c r="C23" s="2">
        <v>17</v>
      </c>
      <c r="D23" s="2">
        <v>49</v>
      </c>
      <c r="E23" s="7" t="s">
        <v>9</v>
      </c>
      <c r="F23" s="2" t="s">
        <v>0</v>
      </c>
      <c r="G23" s="2">
        <v>6</v>
      </c>
    </row>
    <row r="24" spans="2:16" x14ac:dyDescent="0.3">
      <c r="B24">
        <v>5</v>
      </c>
      <c r="C24" s="2">
        <v>87</v>
      </c>
      <c r="D24" s="2">
        <v>63</v>
      </c>
      <c r="E24" s="2">
        <v>40</v>
      </c>
      <c r="F24" s="5" t="s">
        <v>10</v>
      </c>
      <c r="G24" s="2" t="s">
        <v>0</v>
      </c>
    </row>
    <row r="27" spans="2:16" x14ac:dyDescent="0.3">
      <c r="C27" s="13" t="s">
        <v>12</v>
      </c>
      <c r="D27" s="13"/>
      <c r="E27" s="13"/>
      <c r="L27" s="13" t="s">
        <v>13</v>
      </c>
      <c r="M27" s="13"/>
      <c r="N27" s="13"/>
    </row>
    <row r="29" spans="2:16" x14ac:dyDescent="0.3">
      <c r="C29" s="1">
        <v>1</v>
      </c>
      <c r="D29" s="1">
        <v>2</v>
      </c>
      <c r="E29" s="1">
        <v>3</v>
      </c>
      <c r="F29" s="1">
        <v>4</v>
      </c>
      <c r="G29" s="1">
        <v>5</v>
      </c>
      <c r="L29" s="1">
        <v>1</v>
      </c>
      <c r="M29" s="1">
        <v>2</v>
      </c>
      <c r="N29" s="1">
        <v>3</v>
      </c>
      <c r="O29" s="10">
        <v>4</v>
      </c>
      <c r="P29" s="1">
        <v>5</v>
      </c>
    </row>
    <row r="30" spans="2:16" x14ac:dyDescent="0.3">
      <c r="B30">
        <v>1</v>
      </c>
      <c r="C30" s="2" t="s">
        <v>0</v>
      </c>
      <c r="D30" s="2">
        <v>0</v>
      </c>
      <c r="E30" s="2">
        <v>13</v>
      </c>
      <c r="F30" s="2" t="s">
        <v>0</v>
      </c>
      <c r="G30" s="2">
        <v>0</v>
      </c>
      <c r="H30" s="6">
        <f>MIN(C30:G30)</f>
        <v>0</v>
      </c>
      <c r="K30">
        <v>1</v>
      </c>
      <c r="L30" s="2" t="s">
        <v>0</v>
      </c>
      <c r="M30" s="2" t="s">
        <v>8</v>
      </c>
      <c r="N30" s="2">
        <v>13</v>
      </c>
      <c r="O30" s="5" t="s">
        <v>0</v>
      </c>
      <c r="P30" s="2" t="s">
        <v>11</v>
      </c>
    </row>
    <row r="31" spans="2:16" x14ac:dyDescent="0.3">
      <c r="B31">
        <v>2</v>
      </c>
      <c r="C31" s="2">
        <v>0</v>
      </c>
      <c r="D31" s="3" t="s">
        <v>0</v>
      </c>
      <c r="E31" s="2">
        <v>6</v>
      </c>
      <c r="F31" s="2">
        <v>49</v>
      </c>
      <c r="G31" s="2">
        <v>78</v>
      </c>
      <c r="H31" s="6">
        <f t="shared" ref="H31:H34" si="1">MIN(C31:G31)</f>
        <v>0</v>
      </c>
      <c r="K31">
        <v>2</v>
      </c>
      <c r="L31" s="2" t="s">
        <v>2</v>
      </c>
      <c r="M31" s="3" t="s">
        <v>0</v>
      </c>
      <c r="N31" s="2">
        <v>6</v>
      </c>
      <c r="O31" s="5">
        <v>49</v>
      </c>
      <c r="P31" s="2">
        <v>78</v>
      </c>
    </row>
    <row r="32" spans="2:16" x14ac:dyDescent="0.3">
      <c r="B32">
        <v>3</v>
      </c>
      <c r="C32" s="2">
        <v>2</v>
      </c>
      <c r="D32" s="2">
        <v>3</v>
      </c>
      <c r="E32" s="2" t="s">
        <v>0</v>
      </c>
      <c r="F32" s="2">
        <v>70</v>
      </c>
      <c r="G32" s="2">
        <v>49</v>
      </c>
      <c r="H32" s="6">
        <f t="shared" si="1"/>
        <v>2</v>
      </c>
      <c r="K32">
        <v>3</v>
      </c>
      <c r="L32" s="2">
        <v>2</v>
      </c>
      <c r="M32" s="2">
        <v>3</v>
      </c>
      <c r="N32" s="2" t="s">
        <v>0</v>
      </c>
      <c r="O32" s="5">
        <v>70</v>
      </c>
      <c r="P32" s="2">
        <v>49</v>
      </c>
    </row>
    <row r="33" spans="2:16" x14ac:dyDescent="0.3">
      <c r="B33">
        <v>4</v>
      </c>
      <c r="C33" s="2">
        <v>17</v>
      </c>
      <c r="D33" s="2">
        <v>49</v>
      </c>
      <c r="E33" s="2">
        <v>0</v>
      </c>
      <c r="F33" s="2" t="s">
        <v>0</v>
      </c>
      <c r="G33" s="2">
        <v>6</v>
      </c>
      <c r="H33" s="6">
        <f t="shared" si="1"/>
        <v>0</v>
      </c>
      <c r="K33">
        <v>4</v>
      </c>
      <c r="L33" s="2">
        <v>17</v>
      </c>
      <c r="M33" s="2">
        <v>49</v>
      </c>
      <c r="N33" s="2" t="s">
        <v>9</v>
      </c>
      <c r="O33" s="5" t="s">
        <v>0</v>
      </c>
      <c r="P33" s="2">
        <v>6</v>
      </c>
    </row>
    <row r="34" spans="2:16" x14ac:dyDescent="0.3">
      <c r="B34">
        <v>5</v>
      </c>
      <c r="C34" s="2">
        <v>87</v>
      </c>
      <c r="D34" s="2">
        <v>63</v>
      </c>
      <c r="E34" s="2">
        <v>40</v>
      </c>
      <c r="F34" s="2" t="s">
        <v>0</v>
      </c>
      <c r="G34" s="2" t="s">
        <v>0</v>
      </c>
      <c r="H34" s="6">
        <f t="shared" si="1"/>
        <v>40</v>
      </c>
      <c r="K34" s="11">
        <v>5</v>
      </c>
      <c r="L34" s="5">
        <v>87</v>
      </c>
      <c r="M34" s="5">
        <v>63</v>
      </c>
      <c r="N34" s="5">
        <v>40</v>
      </c>
      <c r="O34" s="5" t="s">
        <v>10</v>
      </c>
      <c r="P34" s="5" t="s">
        <v>0</v>
      </c>
    </row>
    <row r="35" spans="2:16" x14ac:dyDescent="0.3">
      <c r="C35" s="9">
        <f>MIN(C30:C34)</f>
        <v>0</v>
      </c>
      <c r="D35" s="9">
        <f t="shared" ref="D35:G35" si="2">MIN(D30:D34)</f>
        <v>0</v>
      </c>
      <c r="E35" s="9">
        <f t="shared" si="2"/>
        <v>0</v>
      </c>
      <c r="F35" s="9">
        <f t="shared" si="2"/>
        <v>49</v>
      </c>
      <c r="G35" s="9">
        <f t="shared" si="2"/>
        <v>0</v>
      </c>
      <c r="H35" s="11">
        <f>SUM(H30:H34,C35:G35)</f>
        <v>91</v>
      </c>
    </row>
    <row r="37" spans="2:16" x14ac:dyDescent="0.3">
      <c r="L37" s="1">
        <v>1</v>
      </c>
      <c r="M37" s="1">
        <v>2</v>
      </c>
      <c r="N37" s="1">
        <v>3</v>
      </c>
      <c r="O37" s="1">
        <v>5</v>
      </c>
    </row>
    <row r="38" spans="2:16" x14ac:dyDescent="0.3">
      <c r="K38">
        <v>1</v>
      </c>
      <c r="L38" s="2" t="s">
        <v>0</v>
      </c>
      <c r="M38" s="2">
        <v>0</v>
      </c>
      <c r="N38" s="2">
        <v>13</v>
      </c>
      <c r="O38" s="2">
        <v>0</v>
      </c>
      <c r="P38" s="6">
        <f>MIN(K38:O38)</f>
        <v>0</v>
      </c>
    </row>
    <row r="39" spans="2:16" x14ac:dyDescent="0.3">
      <c r="K39">
        <v>2</v>
      </c>
      <c r="L39" s="2">
        <v>0</v>
      </c>
      <c r="M39" s="3" t="s">
        <v>0</v>
      </c>
      <c r="N39" s="2">
        <v>6</v>
      </c>
      <c r="O39" s="2">
        <v>78</v>
      </c>
      <c r="P39" s="6">
        <f t="shared" ref="P39:P41" si="3">MIN(K39:O39)</f>
        <v>0</v>
      </c>
    </row>
    <row r="40" spans="2:16" x14ac:dyDescent="0.3">
      <c r="K40">
        <v>3</v>
      </c>
      <c r="L40" s="2">
        <v>2</v>
      </c>
      <c r="M40" s="2">
        <v>3</v>
      </c>
      <c r="N40" s="2" t="s">
        <v>0</v>
      </c>
      <c r="O40" s="2">
        <v>49</v>
      </c>
      <c r="P40" s="6">
        <f>MIN(L40:O40)</f>
        <v>2</v>
      </c>
    </row>
    <row r="41" spans="2:16" x14ac:dyDescent="0.3">
      <c r="K41">
        <v>4</v>
      </c>
      <c r="L41" s="2">
        <v>17</v>
      </c>
      <c r="M41" s="2">
        <v>49</v>
      </c>
      <c r="N41" s="2">
        <v>0</v>
      </c>
      <c r="O41" s="2">
        <v>6</v>
      </c>
      <c r="P41" s="6">
        <f t="shared" si="3"/>
        <v>0</v>
      </c>
    </row>
    <row r="42" spans="2:16" x14ac:dyDescent="0.3">
      <c r="L42" s="9">
        <f t="shared" ref="L42:O42" si="4">MIN(L37:L41)</f>
        <v>0</v>
      </c>
      <c r="M42" s="9">
        <f t="shared" si="4"/>
        <v>0</v>
      </c>
      <c r="N42" s="9">
        <f t="shared" si="4"/>
        <v>0</v>
      </c>
      <c r="O42" s="9">
        <f t="shared" si="4"/>
        <v>0</v>
      </c>
      <c r="P42" s="11">
        <f>SUM(P38:P41,L42:O42)</f>
        <v>2</v>
      </c>
    </row>
    <row r="45" spans="2:16" x14ac:dyDescent="0.3">
      <c r="C45" t="s">
        <v>14</v>
      </c>
      <c r="D45">
        <f>SUM(J13,H35)</f>
        <v>152</v>
      </c>
      <c r="L45" t="s">
        <v>15</v>
      </c>
      <c r="M45">
        <f>SUM(J13,P42)</f>
        <v>63</v>
      </c>
    </row>
    <row r="47" spans="2:16" x14ac:dyDescent="0.3">
      <c r="C47" s="13" t="s">
        <v>16</v>
      </c>
      <c r="D47" s="13"/>
      <c r="E47" s="13"/>
      <c r="F47" s="13"/>
      <c r="G47" s="13"/>
      <c r="H47" s="13"/>
      <c r="I47" s="13"/>
    </row>
    <row r="49" spans="3:16" x14ac:dyDescent="0.3">
      <c r="D49" s="1">
        <v>1</v>
      </c>
      <c r="E49" s="1">
        <v>2</v>
      </c>
      <c r="F49" s="1">
        <v>3</v>
      </c>
      <c r="G49" s="1">
        <v>5</v>
      </c>
    </row>
    <row r="50" spans="3:16" x14ac:dyDescent="0.3">
      <c r="C50">
        <v>1</v>
      </c>
      <c r="D50" s="2" t="s">
        <v>0</v>
      </c>
      <c r="E50" s="7" t="s">
        <v>8</v>
      </c>
      <c r="F50" s="2">
        <v>13</v>
      </c>
      <c r="G50" s="7" t="s">
        <v>11</v>
      </c>
    </row>
    <row r="51" spans="3:16" x14ac:dyDescent="0.3">
      <c r="C51">
        <v>2</v>
      </c>
      <c r="D51" s="7" t="s">
        <v>2</v>
      </c>
      <c r="E51" s="3" t="s">
        <v>0</v>
      </c>
      <c r="F51" s="2">
        <v>6</v>
      </c>
      <c r="G51" s="2">
        <v>78</v>
      </c>
    </row>
    <row r="52" spans="3:16" x14ac:dyDescent="0.3">
      <c r="C52">
        <v>3</v>
      </c>
      <c r="D52" s="2">
        <v>2</v>
      </c>
      <c r="E52" s="2">
        <v>3</v>
      </c>
      <c r="F52" s="2" t="s">
        <v>0</v>
      </c>
      <c r="G52" s="2">
        <v>49</v>
      </c>
    </row>
    <row r="53" spans="3:16" x14ac:dyDescent="0.3">
      <c r="C53">
        <v>4</v>
      </c>
      <c r="D53" s="2">
        <v>17</v>
      </c>
      <c r="E53" s="2">
        <v>49</v>
      </c>
      <c r="F53" s="5" t="s">
        <v>9</v>
      </c>
      <c r="G53" s="2">
        <v>6</v>
      </c>
    </row>
    <row r="56" spans="3:16" x14ac:dyDescent="0.3">
      <c r="C56" s="13" t="s">
        <v>17</v>
      </c>
      <c r="D56" s="13"/>
      <c r="E56" s="13"/>
      <c r="L56" s="13" t="s">
        <v>18</v>
      </c>
      <c r="M56" s="13"/>
      <c r="N56" s="13"/>
    </row>
    <row r="59" spans="3:16" x14ac:dyDescent="0.3">
      <c r="D59" s="1">
        <v>1</v>
      </c>
      <c r="E59" s="1">
        <v>2</v>
      </c>
      <c r="F59" s="1">
        <v>3</v>
      </c>
      <c r="G59" s="1">
        <v>5</v>
      </c>
      <c r="M59" s="1">
        <v>1</v>
      </c>
      <c r="N59" s="1">
        <v>2</v>
      </c>
      <c r="O59" s="10">
        <v>3</v>
      </c>
      <c r="P59" s="1">
        <v>5</v>
      </c>
    </row>
    <row r="60" spans="3:16" x14ac:dyDescent="0.3">
      <c r="C60">
        <v>1</v>
      </c>
      <c r="D60" s="2" t="s">
        <v>0</v>
      </c>
      <c r="E60" s="2">
        <v>0</v>
      </c>
      <c r="F60" s="2">
        <v>13</v>
      </c>
      <c r="G60" s="2">
        <v>0</v>
      </c>
      <c r="H60" s="6">
        <f t="shared" ref="H60:H62" si="5">MIN(C60:G60)</f>
        <v>0</v>
      </c>
      <c r="L60">
        <v>1</v>
      </c>
      <c r="M60" s="2" t="s">
        <v>0</v>
      </c>
      <c r="N60" s="2">
        <v>0</v>
      </c>
      <c r="O60" s="5">
        <v>13</v>
      </c>
      <c r="P60" s="2">
        <v>0</v>
      </c>
    </row>
    <row r="61" spans="3:16" x14ac:dyDescent="0.3">
      <c r="C61">
        <v>2</v>
      </c>
      <c r="D61" s="2">
        <v>0</v>
      </c>
      <c r="E61" s="3" t="s">
        <v>0</v>
      </c>
      <c r="F61" s="2">
        <v>6</v>
      </c>
      <c r="G61" s="2">
        <v>78</v>
      </c>
      <c r="H61" s="6">
        <f t="shared" si="5"/>
        <v>0</v>
      </c>
      <c r="L61">
        <v>2</v>
      </c>
      <c r="M61" s="2">
        <v>0</v>
      </c>
      <c r="N61" s="3" t="s">
        <v>0</v>
      </c>
      <c r="O61" s="5">
        <v>6</v>
      </c>
      <c r="P61" s="2">
        <v>78</v>
      </c>
    </row>
    <row r="62" spans="3:16" x14ac:dyDescent="0.3">
      <c r="C62">
        <v>3</v>
      </c>
      <c r="D62" s="2">
        <v>2</v>
      </c>
      <c r="E62" s="2">
        <v>3</v>
      </c>
      <c r="F62" s="2" t="s">
        <v>0</v>
      </c>
      <c r="G62" s="2">
        <v>49</v>
      </c>
      <c r="H62" s="6">
        <f t="shared" si="5"/>
        <v>2</v>
      </c>
      <c r="L62">
        <v>3</v>
      </c>
      <c r="M62" s="2">
        <v>2</v>
      </c>
      <c r="N62" s="2">
        <v>3</v>
      </c>
      <c r="O62" s="5" t="s">
        <v>0</v>
      </c>
      <c r="P62" s="2">
        <v>49</v>
      </c>
    </row>
    <row r="63" spans="3:16" x14ac:dyDescent="0.3">
      <c r="C63">
        <v>4</v>
      </c>
      <c r="D63" s="2">
        <v>17</v>
      </c>
      <c r="E63" s="2">
        <v>49</v>
      </c>
      <c r="F63" s="2" t="s">
        <v>0</v>
      </c>
      <c r="G63" s="2">
        <v>6</v>
      </c>
      <c r="H63" s="6">
        <f>MIN(D63:G63)</f>
        <v>6</v>
      </c>
      <c r="L63" s="11">
        <v>4</v>
      </c>
      <c r="M63" s="5">
        <v>17</v>
      </c>
      <c r="N63" s="5">
        <v>49</v>
      </c>
      <c r="O63" s="5">
        <v>0</v>
      </c>
      <c r="P63" s="5">
        <v>6</v>
      </c>
    </row>
    <row r="64" spans="3:16" x14ac:dyDescent="0.3">
      <c r="C64" s="1"/>
      <c r="D64" s="9">
        <f t="shared" ref="D64:G64" si="6">MIN(D59:D63)</f>
        <v>0</v>
      </c>
      <c r="E64" s="9">
        <f t="shared" si="6"/>
        <v>0</v>
      </c>
      <c r="F64" s="9">
        <f>MIN(F60:F63)</f>
        <v>6</v>
      </c>
      <c r="G64" s="9">
        <f t="shared" si="6"/>
        <v>0</v>
      </c>
      <c r="H64" s="11">
        <f>SUM(H60:H63,D64:G64)</f>
        <v>14</v>
      </c>
      <c r="L64" s="1"/>
      <c r="M64" s="1"/>
      <c r="N64" s="1"/>
      <c r="O64" s="1"/>
      <c r="P64" s="1"/>
    </row>
    <row r="66" spans="4:16" x14ac:dyDescent="0.3">
      <c r="M66" s="1">
        <v>1</v>
      </c>
      <c r="N66" s="1">
        <v>2</v>
      </c>
      <c r="O66" s="1">
        <v>5</v>
      </c>
    </row>
    <row r="67" spans="4:16" x14ac:dyDescent="0.3">
      <c r="L67">
        <v>1</v>
      </c>
      <c r="M67" s="2" t="s">
        <v>0</v>
      </c>
      <c r="N67" s="2">
        <v>0</v>
      </c>
      <c r="O67" s="2">
        <v>0</v>
      </c>
      <c r="P67" s="6">
        <f t="shared" ref="P67:P69" si="7">MIN(K67:O67)</f>
        <v>0</v>
      </c>
    </row>
    <row r="68" spans="4:16" x14ac:dyDescent="0.3">
      <c r="L68">
        <v>2</v>
      </c>
      <c r="M68" s="2">
        <v>0</v>
      </c>
      <c r="N68" s="3" t="s">
        <v>0</v>
      </c>
      <c r="O68" s="2">
        <v>78</v>
      </c>
      <c r="P68" s="6">
        <f>MIN(K68:O68)</f>
        <v>0</v>
      </c>
    </row>
    <row r="69" spans="4:16" x14ac:dyDescent="0.3">
      <c r="L69">
        <v>3</v>
      </c>
      <c r="M69" s="2">
        <v>2</v>
      </c>
      <c r="N69" s="2">
        <v>3</v>
      </c>
      <c r="O69" s="2">
        <v>49</v>
      </c>
      <c r="P69" s="6">
        <f t="shared" si="7"/>
        <v>2</v>
      </c>
    </row>
    <row r="70" spans="4:16" x14ac:dyDescent="0.3">
      <c r="M70" s="9">
        <f t="shared" ref="M70:O70" si="8">MIN(M65:M69)</f>
        <v>0</v>
      </c>
      <c r="N70" s="9">
        <f t="shared" si="8"/>
        <v>0</v>
      </c>
      <c r="O70" s="9">
        <f t="shared" si="8"/>
        <v>0</v>
      </c>
      <c r="P70" s="11">
        <f>SUM(P67:P69,M70:O70)</f>
        <v>2</v>
      </c>
    </row>
    <row r="74" spans="4:16" x14ac:dyDescent="0.3">
      <c r="D74" t="s">
        <v>19</v>
      </c>
      <c r="E74">
        <f>SUM(61,H64)</f>
        <v>75</v>
      </c>
      <c r="M74" t="s">
        <v>20</v>
      </c>
      <c r="N74">
        <f>SUM(61,P70)</f>
        <v>63</v>
      </c>
    </row>
    <row r="77" spans="4:16" x14ac:dyDescent="0.3">
      <c r="D77" s="13" t="s">
        <v>21</v>
      </c>
      <c r="E77" s="13"/>
      <c r="F77" s="13"/>
      <c r="G77" s="13"/>
      <c r="H77" s="13"/>
      <c r="I77" s="13"/>
      <c r="J77" s="13"/>
    </row>
    <row r="80" spans="4:16" x14ac:dyDescent="0.3">
      <c r="E80" s="1">
        <v>1</v>
      </c>
      <c r="F80" s="1">
        <v>2</v>
      </c>
      <c r="G80" s="1">
        <v>5</v>
      </c>
    </row>
    <row r="81" spans="4:16" x14ac:dyDescent="0.3">
      <c r="D81">
        <v>1</v>
      </c>
      <c r="E81" s="2" t="s">
        <v>0</v>
      </c>
      <c r="F81" s="7" t="s">
        <v>8</v>
      </c>
      <c r="G81" s="7" t="s">
        <v>22</v>
      </c>
    </row>
    <row r="82" spans="4:16" x14ac:dyDescent="0.3">
      <c r="D82">
        <v>2</v>
      </c>
      <c r="E82" s="5" t="s">
        <v>23</v>
      </c>
      <c r="F82" s="3" t="s">
        <v>0</v>
      </c>
      <c r="G82" s="2">
        <v>78</v>
      </c>
    </row>
    <row r="83" spans="4:16" x14ac:dyDescent="0.3">
      <c r="D83">
        <v>3</v>
      </c>
      <c r="E83" s="2">
        <v>2</v>
      </c>
      <c r="F83" s="2">
        <v>3</v>
      </c>
      <c r="G83" s="2">
        <v>49</v>
      </c>
    </row>
    <row r="84" spans="4:16" x14ac:dyDescent="0.3">
      <c r="E84" s="1"/>
      <c r="F84" s="1"/>
      <c r="G84" s="1"/>
    </row>
    <row r="86" spans="4:16" x14ac:dyDescent="0.3">
      <c r="D86" s="13" t="s">
        <v>24</v>
      </c>
      <c r="E86" s="13"/>
      <c r="F86" s="13"/>
      <c r="M86" s="13" t="s">
        <v>25</v>
      </c>
      <c r="N86" s="13"/>
      <c r="O86" s="13"/>
    </row>
    <row r="89" spans="4:16" x14ac:dyDescent="0.3">
      <c r="E89" s="1">
        <v>1</v>
      </c>
      <c r="F89" s="1">
        <v>2</v>
      </c>
      <c r="G89" s="1">
        <v>5</v>
      </c>
      <c r="N89" s="10">
        <v>1</v>
      </c>
      <c r="O89" s="1">
        <v>2</v>
      </c>
      <c r="P89" s="1">
        <v>5</v>
      </c>
    </row>
    <row r="90" spans="4:16" x14ac:dyDescent="0.3">
      <c r="D90">
        <v>1</v>
      </c>
      <c r="E90" s="2" t="s">
        <v>0</v>
      </c>
      <c r="F90" s="2">
        <v>0</v>
      </c>
      <c r="G90" s="2">
        <v>0</v>
      </c>
      <c r="H90" s="6">
        <f t="shared" ref="H90:H92" si="9">MIN(C90:G90)</f>
        <v>0</v>
      </c>
      <c r="M90">
        <v>1</v>
      </c>
      <c r="N90" s="5" t="s">
        <v>0</v>
      </c>
      <c r="O90" s="2">
        <v>0</v>
      </c>
      <c r="P90" s="2">
        <v>0</v>
      </c>
    </row>
    <row r="91" spans="4:16" x14ac:dyDescent="0.3">
      <c r="D91">
        <v>2</v>
      </c>
      <c r="E91" s="2" t="s">
        <v>0</v>
      </c>
      <c r="F91" s="3" t="s">
        <v>0</v>
      </c>
      <c r="G91" s="2">
        <v>78</v>
      </c>
      <c r="H91" s="6">
        <f>MIN(G91)</f>
        <v>78</v>
      </c>
      <c r="M91" s="11">
        <v>2</v>
      </c>
      <c r="N91" s="5">
        <v>0</v>
      </c>
      <c r="O91" s="12" t="s">
        <v>0</v>
      </c>
      <c r="P91" s="5">
        <v>78</v>
      </c>
    </row>
    <row r="92" spans="4:16" x14ac:dyDescent="0.3">
      <c r="D92">
        <v>3</v>
      </c>
      <c r="E92" s="2">
        <v>2</v>
      </c>
      <c r="F92" s="2">
        <v>3</v>
      </c>
      <c r="G92" s="2">
        <v>49</v>
      </c>
      <c r="H92" s="6">
        <f t="shared" si="9"/>
        <v>2</v>
      </c>
      <c r="M92">
        <v>3</v>
      </c>
      <c r="N92" s="5">
        <v>2</v>
      </c>
      <c r="O92" s="2">
        <v>3</v>
      </c>
      <c r="P92" s="2">
        <v>49</v>
      </c>
    </row>
    <row r="93" spans="4:16" x14ac:dyDescent="0.3">
      <c r="E93" s="9">
        <f>MIN(E90:E92)</f>
        <v>2</v>
      </c>
      <c r="F93" s="9">
        <f t="shared" ref="F93:G93" si="10">MIN(F88:F92)</f>
        <v>0</v>
      </c>
      <c r="G93" s="9">
        <f t="shared" si="10"/>
        <v>0</v>
      </c>
      <c r="H93" s="11">
        <f>SUM(H90:H92,E93:G93)</f>
        <v>82</v>
      </c>
    </row>
    <row r="95" spans="4:16" x14ac:dyDescent="0.3">
      <c r="N95" s="1">
        <v>2</v>
      </c>
      <c r="O95" s="1">
        <v>5</v>
      </c>
    </row>
    <row r="96" spans="4:16" x14ac:dyDescent="0.3">
      <c r="M96">
        <v>1</v>
      </c>
      <c r="N96" s="2">
        <v>0</v>
      </c>
      <c r="O96" s="2">
        <v>0</v>
      </c>
      <c r="P96" s="6">
        <f t="shared" ref="P96:P97" si="11">MIN(K96:O96)</f>
        <v>0</v>
      </c>
    </row>
    <row r="97" spans="5:16" x14ac:dyDescent="0.3">
      <c r="M97">
        <v>3</v>
      </c>
      <c r="N97" s="2">
        <v>3</v>
      </c>
      <c r="O97" s="2">
        <v>49</v>
      </c>
      <c r="P97" s="6">
        <f t="shared" si="11"/>
        <v>3</v>
      </c>
    </row>
    <row r="98" spans="5:16" x14ac:dyDescent="0.3">
      <c r="N98" s="9">
        <f t="shared" ref="N98:O98" si="12">MIN(N93:N97)</f>
        <v>0</v>
      </c>
      <c r="O98" s="9">
        <f t="shared" si="12"/>
        <v>0</v>
      </c>
      <c r="P98" s="11">
        <f>SUM(P96:P97,N98:O98)</f>
        <v>3</v>
      </c>
    </row>
    <row r="101" spans="5:16" x14ac:dyDescent="0.3">
      <c r="E101" t="s">
        <v>26</v>
      </c>
      <c r="F101">
        <f>SUM(61,H93)</f>
        <v>143</v>
      </c>
      <c r="N101" t="s">
        <v>27</v>
      </c>
      <c r="O101">
        <f>SUM(61,P98)</f>
        <v>64</v>
      </c>
    </row>
    <row r="104" spans="5:16" x14ac:dyDescent="0.3">
      <c r="E104" s="13" t="s">
        <v>28</v>
      </c>
      <c r="F104" s="13"/>
      <c r="G104" s="13"/>
      <c r="H104" s="13"/>
      <c r="I104" s="13"/>
      <c r="J104" s="13"/>
      <c r="K104" s="13"/>
    </row>
    <row r="107" spans="5:16" x14ac:dyDescent="0.3">
      <c r="F107" s="1">
        <v>2</v>
      </c>
      <c r="G107" s="10">
        <v>5</v>
      </c>
    </row>
    <row r="108" spans="5:16" x14ac:dyDescent="0.3">
      <c r="E108" s="11">
        <v>1</v>
      </c>
      <c r="F108" s="5" t="s">
        <v>8</v>
      </c>
      <c r="G108" s="5" t="s">
        <v>22</v>
      </c>
    </row>
    <row r="109" spans="5:16" x14ac:dyDescent="0.3">
      <c r="E109">
        <v>3</v>
      </c>
      <c r="F109" s="2">
        <v>3</v>
      </c>
      <c r="G109" s="5">
        <v>49</v>
      </c>
    </row>
    <row r="110" spans="5:16" x14ac:dyDescent="0.3">
      <c r="F110" s="1"/>
      <c r="G110" s="1"/>
    </row>
    <row r="111" spans="5:16" x14ac:dyDescent="0.3">
      <c r="E111" s="13" t="s">
        <v>32</v>
      </c>
      <c r="F111" s="13"/>
      <c r="G111" s="13"/>
      <c r="H111" s="13"/>
    </row>
    <row r="114" spans="5:14" x14ac:dyDescent="0.3">
      <c r="E114" s="4" t="s">
        <v>3</v>
      </c>
      <c r="F114" s="4" t="s">
        <v>4</v>
      </c>
      <c r="J114" s="1">
        <v>1</v>
      </c>
      <c r="K114" s="1">
        <v>2</v>
      </c>
      <c r="L114" s="1">
        <v>3</v>
      </c>
      <c r="M114" s="1">
        <v>4</v>
      </c>
      <c r="N114" s="1">
        <v>5</v>
      </c>
    </row>
    <row r="115" spans="5:14" x14ac:dyDescent="0.3">
      <c r="E115" s="8" t="s">
        <v>5</v>
      </c>
      <c r="F115" s="4">
        <v>3</v>
      </c>
      <c r="I115">
        <v>1</v>
      </c>
      <c r="J115" s="2" t="s">
        <v>0</v>
      </c>
      <c r="K115" s="2">
        <v>6</v>
      </c>
      <c r="L115" s="2">
        <v>24</v>
      </c>
      <c r="M115" s="2" t="s">
        <v>0</v>
      </c>
      <c r="N115" s="2">
        <v>3</v>
      </c>
    </row>
    <row r="116" spans="5:14" x14ac:dyDescent="0.3">
      <c r="E116" s="4" t="s">
        <v>31</v>
      </c>
      <c r="F116" s="4">
        <v>9</v>
      </c>
      <c r="I116">
        <v>2</v>
      </c>
      <c r="J116" s="2">
        <v>3</v>
      </c>
      <c r="K116" s="3" t="s">
        <v>0</v>
      </c>
      <c r="L116" s="2">
        <v>18</v>
      </c>
      <c r="M116" s="2">
        <v>65</v>
      </c>
      <c r="N116" s="2">
        <v>81</v>
      </c>
    </row>
    <row r="117" spans="5:14" x14ac:dyDescent="0.3">
      <c r="E117" s="4" t="s">
        <v>29</v>
      </c>
      <c r="F117" s="4">
        <v>3</v>
      </c>
      <c r="I117">
        <v>3</v>
      </c>
      <c r="J117" s="2">
        <v>5</v>
      </c>
      <c r="K117" s="2">
        <v>9</v>
      </c>
      <c r="L117" s="2" t="s">
        <v>0</v>
      </c>
      <c r="M117" s="2">
        <v>86</v>
      </c>
      <c r="N117" s="2">
        <v>52</v>
      </c>
    </row>
    <row r="118" spans="5:14" x14ac:dyDescent="0.3">
      <c r="E118" s="4" t="s">
        <v>30</v>
      </c>
      <c r="F118" s="4">
        <v>12</v>
      </c>
      <c r="I118">
        <v>4</v>
      </c>
      <c r="J118" s="2">
        <v>20</v>
      </c>
      <c r="K118" s="2">
        <v>55</v>
      </c>
      <c r="L118" s="2">
        <v>12</v>
      </c>
      <c r="M118" s="2" t="s">
        <v>0</v>
      </c>
      <c r="N118" s="2">
        <v>9</v>
      </c>
    </row>
    <row r="119" spans="5:14" x14ac:dyDescent="0.3">
      <c r="E119" s="4" t="s">
        <v>6</v>
      </c>
      <c r="F119" s="4">
        <v>16</v>
      </c>
      <c r="I119">
        <v>5</v>
      </c>
      <c r="J119" s="2">
        <v>90</v>
      </c>
      <c r="K119" s="2">
        <v>69</v>
      </c>
      <c r="L119" s="2">
        <v>52</v>
      </c>
      <c r="M119" s="2">
        <v>16</v>
      </c>
      <c r="N119" s="2" t="s">
        <v>0</v>
      </c>
    </row>
    <row r="120" spans="5:14" x14ac:dyDescent="0.3">
      <c r="E120" s="4"/>
      <c r="F120" s="4">
        <f>SUM(F115:F119)</f>
        <v>43</v>
      </c>
    </row>
    <row r="123" spans="5:14" x14ac:dyDescent="0.3">
      <c r="E123" s="13" t="s">
        <v>33</v>
      </c>
      <c r="F123" s="13"/>
      <c r="G123" s="13"/>
      <c r="H123" s="13"/>
    </row>
  </sheetData>
  <mergeCells count="11">
    <mergeCell ref="C27:E27"/>
    <mergeCell ref="L27:N27"/>
    <mergeCell ref="C56:E56"/>
    <mergeCell ref="L56:N56"/>
    <mergeCell ref="C47:I47"/>
    <mergeCell ref="E123:H123"/>
    <mergeCell ref="E111:H111"/>
    <mergeCell ref="D77:J77"/>
    <mergeCell ref="D86:F86"/>
    <mergeCell ref="M86:O86"/>
    <mergeCell ref="E104:K10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2025-02-26T15:13:43Z</dcterms:modified>
</cp:coreProperties>
</file>