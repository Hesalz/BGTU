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БГТУ\III сем\ТерВер\"/>
    </mc:Choice>
  </mc:AlternateContent>
  <xr:revisionPtr revIDLastSave="0" documentId="8_{B55A3CF7-EE71-4F2D-AFD5-DC574E7C72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D47" i="1"/>
  <c r="B47" i="1"/>
  <c r="B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H34" i="1"/>
  <c r="G34" i="1"/>
  <c r="E34" i="1"/>
  <c r="D34" i="1"/>
  <c r="B34" i="1"/>
  <c r="A34" i="1"/>
  <c r="H33" i="1"/>
  <c r="G33" i="1"/>
  <c r="E33" i="1"/>
  <c r="D33" i="1"/>
  <c r="B33" i="1"/>
  <c r="A33" i="1"/>
  <c r="H32" i="1"/>
  <c r="G32" i="1"/>
  <c r="E32" i="1"/>
  <c r="D32" i="1"/>
  <c r="B32" i="1"/>
  <c r="A32" i="1"/>
  <c r="H31" i="1"/>
  <c r="G31" i="1"/>
  <c r="E31" i="1"/>
  <c r="D31" i="1"/>
  <c r="B31" i="1"/>
  <c r="A31" i="1"/>
  <c r="H30" i="1"/>
  <c r="G30" i="1"/>
  <c r="E30" i="1"/>
  <c r="D30" i="1"/>
  <c r="B30" i="1"/>
  <c r="A30" i="1"/>
  <c r="H29" i="1"/>
  <c r="G29" i="1"/>
  <c r="E29" i="1"/>
  <c r="D29" i="1"/>
  <c r="B29" i="1"/>
  <c r="A29" i="1"/>
  <c r="H28" i="1"/>
  <c r="G28" i="1"/>
  <c r="E28" i="1"/>
  <c r="D28" i="1"/>
  <c r="B28" i="1"/>
  <c r="A28" i="1"/>
  <c r="H27" i="1"/>
  <c r="G27" i="1"/>
  <c r="E27" i="1"/>
  <c r="D27" i="1"/>
  <c r="B27" i="1"/>
  <c r="A27" i="1"/>
  <c r="D23" i="1"/>
  <c r="D22" i="1" a="1"/>
  <c r="D22" i="1"/>
  <c r="B23" i="1"/>
  <c r="A23" i="1"/>
  <c r="B22" i="1"/>
  <c r="A22" i="1" a="1"/>
  <c r="A22" i="1"/>
  <c r="D20" i="1"/>
  <c r="B20" i="1"/>
  <c r="A20" i="1"/>
  <c r="D19" i="1"/>
  <c r="B19" i="1"/>
  <c r="A19" i="1"/>
  <c r="F16" i="1"/>
  <c r="D16" i="1"/>
  <c r="B16" i="1"/>
  <c r="B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</calcChain>
</file>

<file path=xl/sharedStrings.xml><?xml version="1.0" encoding="utf-8"?>
<sst xmlns="http://schemas.openxmlformats.org/spreadsheetml/2006/main" count="33" uniqueCount="28">
  <si>
    <t>Исходные данные (3 вариант)</t>
  </si>
  <si>
    <t>Втв,%</t>
  </si>
  <si>
    <t>Тз,град С</t>
  </si>
  <si>
    <t>xi</t>
  </si>
  <si>
    <t>yi</t>
  </si>
  <si>
    <t>xiyi</t>
  </si>
  <si>
    <t>xi^2</t>
  </si>
  <si>
    <t>yi^2</t>
  </si>
  <si>
    <t>n=</t>
  </si>
  <si>
    <t>r=</t>
  </si>
  <si>
    <t>tрасч=</t>
  </si>
  <si>
    <t>tтабл=</t>
  </si>
  <si>
    <t>Система нормальных уравнений:</t>
  </si>
  <si>
    <t>b0=</t>
  </si>
  <si>
    <t>y= 79,63 + (-40,239)/x</t>
  </si>
  <si>
    <t>b1=</t>
  </si>
  <si>
    <t>Для в)</t>
  </si>
  <si>
    <t>Для д)</t>
  </si>
  <si>
    <t>Для ж)</t>
  </si>
  <si>
    <t>X = 1/x</t>
  </si>
  <si>
    <t>Y</t>
  </si>
  <si>
    <t>X</t>
  </si>
  <si>
    <t>Y = ln|y|</t>
  </si>
  <si>
    <t>Y = 1/y</t>
  </si>
  <si>
    <t>Xi=1/xi</t>
  </si>
  <si>
    <t>Y = yi</t>
  </si>
  <si>
    <t>XiYi</t>
  </si>
  <si>
    <t>Xi^2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</si>
</sst>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204"/>
    </font>
    <font>
      <sz val="12"/>
      <color theme="1"/>
      <name val="Times New Roman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8" fontId="0" fillId="0" borderId="0" xfId="0" applyNumberFormat="1"/>
    <xf numFmtId="0" fontId="2" fillId="5" borderId="2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left"/>
    </xf>
    <xf numFmtId="168" fontId="0" fillId="3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168" fontId="0" fillId="4" borderId="2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Линейная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1-4FA4-9F62-431CC73E6AA9}"/>
            </c:ext>
          </c:extLst>
        </c:ser>
        <c:ser>
          <c:idx val="0"/>
          <c:order val="1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trendline>
            <c:spPr>
              <a:ln w="19050" cap="rnd" cmpd="sng" algn="ctr">
                <a:solidFill>
                  <a:schemeClr val="accent1"/>
                </a:solidFill>
                <a:prstDash val="sysDot"/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1951794551142398E-4"/>
                  <c:y val="0.339230658864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31-4FA4-9F62-431CC73E6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59480"/>
        <c:axId val="533061448"/>
      </c:scatterChart>
      <c:valAx>
        <c:axId val="53305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61448"/>
        <c:crosses val="autoZero"/>
        <c:crossBetween val="midCat"/>
      </c:valAx>
      <c:valAx>
        <c:axId val="53306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5948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d8e07a09-8cc9-4193-93f5-17b19fb3e7a8}"/>
      </c:ext>
    </c:extLst>
  </c:chart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Квадратичная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1951794551142398E-4"/>
                  <c:y val="0.339230658864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E6-4DFF-BA17-4AFD55D60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59480"/>
        <c:axId val="533061448"/>
      </c:scatterChart>
      <c:valAx>
        <c:axId val="53305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61448"/>
        <c:crosses val="autoZero"/>
        <c:crossBetween val="midCat"/>
      </c:valAx>
      <c:valAx>
        <c:axId val="53306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5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a8f8f6-cd2e-41e7-ac1a-545aadb7fe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Логарифмическая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1951794551142398E-4"/>
                  <c:y val="0.339230658864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0-4B06-9F59-030C8E89D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59480"/>
        <c:axId val="533061448"/>
      </c:scatterChart>
      <c:valAx>
        <c:axId val="53305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61448"/>
        <c:crosses val="autoZero"/>
        <c:crossBetween val="midCat"/>
      </c:valAx>
      <c:valAx>
        <c:axId val="53306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5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7c2ce18-069a-4a32-9919-8a6cb11898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Гиперболическая()в)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102583330929599E-3"/>
                  <c:y val="-0.51390627299895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Лист1!$A$27:$A$34</c:f>
              <c:numCache>
                <c:formatCode>General</c:formatCode>
                <c:ptCount val="8"/>
                <c:pt idx="0">
                  <c:v>0.2</c:v>
                </c:pt>
                <c:pt idx="1">
                  <c:v>0.1</c:v>
                </c:pt>
                <c:pt idx="2">
                  <c:v>6.6666666666666693E-2</c:v>
                </c:pt>
                <c:pt idx="3">
                  <c:v>0.05</c:v>
                </c:pt>
                <c:pt idx="4">
                  <c:v>0.04</c:v>
                </c:pt>
                <c:pt idx="5">
                  <c:v>3.3333333333333298E-2</c:v>
                </c:pt>
                <c:pt idx="6">
                  <c:v>2.8571428571428598E-2</c:v>
                </c:pt>
                <c:pt idx="7">
                  <c:v>1.6666666666666701E-2</c:v>
                </c:pt>
              </c:numCache>
            </c:numRef>
          </c:xVal>
          <c:yVal>
            <c:numRef>
              <c:f>Лист1!$B$27:$B$34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B-47EB-844A-E44727E1B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07728"/>
        <c:axId val="631006744"/>
      </c:scatterChart>
      <c:valAx>
        <c:axId val="63100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1006744"/>
        <c:crosses val="autoZero"/>
        <c:crossBetween val="midCat"/>
      </c:valAx>
      <c:valAx>
        <c:axId val="63100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100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eae968-6dad-4775-82ae-0b5a7eaed6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Экспоненциальная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1951794551142398E-4"/>
                  <c:y val="0.339230658864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8-46C3-BCC3-44C1F06DD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59480"/>
        <c:axId val="533061448"/>
      </c:scatterChart>
      <c:valAx>
        <c:axId val="53305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61448"/>
        <c:crosses val="autoZero"/>
        <c:crossBetween val="midCat"/>
      </c:valAx>
      <c:valAx>
        <c:axId val="53306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5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c8926c-95cf-4d0c-a438-d619d653f5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Степенная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1951794551142398E-4"/>
                  <c:y val="0.339230658864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Лист1!$A$6:$A$13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71.5</c:v>
                </c:pt>
                <c:pt idx="1">
                  <c:v>75.5</c:v>
                </c:pt>
                <c:pt idx="2">
                  <c:v>77.099999999999994</c:v>
                </c:pt>
                <c:pt idx="3">
                  <c:v>78</c:v>
                </c:pt>
                <c:pt idx="4">
                  <c:v>78.2</c:v>
                </c:pt>
                <c:pt idx="5">
                  <c:v>78.3</c:v>
                </c:pt>
                <c:pt idx="6">
                  <c:v>78.400000000000006</c:v>
                </c:pt>
                <c:pt idx="7">
                  <c:v>78.5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1-47B7-B592-0389BA20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59480"/>
        <c:axId val="533061448"/>
      </c:scatterChart>
      <c:valAx>
        <c:axId val="53305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61448"/>
        <c:crosses val="autoZero"/>
        <c:crossBetween val="midCat"/>
      </c:valAx>
      <c:valAx>
        <c:axId val="53306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3305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9acf25-b423-4eda-9057-827417b5e3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Гиперболическая(ж)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Лист1!$G$27:$G$34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60</c:v>
                </c:pt>
              </c:numCache>
            </c:numRef>
          </c:xVal>
          <c:yVal>
            <c:numRef>
              <c:f>Лист1!$H$27:$H$34</c:f>
              <c:numCache>
                <c:formatCode>General</c:formatCode>
                <c:ptCount val="8"/>
                <c:pt idx="0">
                  <c:v>1.3986013986014E-2</c:v>
                </c:pt>
                <c:pt idx="1">
                  <c:v>1.3245033112582801E-2</c:v>
                </c:pt>
                <c:pt idx="2">
                  <c:v>1.2970168612191999E-2</c:v>
                </c:pt>
                <c:pt idx="3">
                  <c:v>1.2820512820512799E-2</c:v>
                </c:pt>
                <c:pt idx="4">
                  <c:v>1.27877237851662E-2</c:v>
                </c:pt>
                <c:pt idx="5">
                  <c:v>1.27713920817369E-2</c:v>
                </c:pt>
                <c:pt idx="6">
                  <c:v>1.2755102040816301E-2</c:v>
                </c:pt>
                <c:pt idx="7">
                  <c:v>1.27388535031847E-2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6-4605-A3CB-E4A7CAF38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57792"/>
        <c:axId val="676465008"/>
      </c:scatterChart>
      <c:valAx>
        <c:axId val="67645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76465008"/>
        <c:crosses val="autoZero"/>
        <c:crossBetween val="midCat"/>
      </c:valAx>
      <c:valAx>
        <c:axId val="6764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7645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d860aa-c19a-440c-b9c0-8c8767e363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175261</xdr:colOff>
      <xdr:row>4</xdr:row>
      <xdr:rowOff>30481</xdr:rowOff>
    </xdr:from>
    <xdr:to>
      <xdr:col>7</xdr:col>
      <xdr:colOff>561983</xdr:colOff>
      <xdr:row>7</xdr:row>
      <xdr:rowOff>91441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0" y="792480"/>
          <a:ext cx="1758315" cy="65532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8</xdr:row>
      <xdr:rowOff>24720</xdr:rowOff>
    </xdr:from>
    <xdr:to>
      <xdr:col>8</xdr:col>
      <xdr:colOff>315574</xdr:colOff>
      <xdr:row>13</xdr:row>
      <xdr:rowOff>186515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2440" y="1578610"/>
          <a:ext cx="2219960" cy="1152525"/>
        </a:xfrm>
        <a:prstGeom prst="rect">
          <a:avLst/>
        </a:prstGeom>
      </xdr:spPr>
    </xdr:pic>
    <xdr:clientData/>
  </xdr:twoCellAnchor>
  <xdr:twoCellAnchor>
    <xdr:from>
      <xdr:col>9</xdr:col>
      <xdr:colOff>303509</xdr:colOff>
      <xdr:row>5</xdr:row>
      <xdr:rowOff>100738</xdr:rowOff>
    </xdr:from>
    <xdr:to>
      <xdr:col>16</xdr:col>
      <xdr:colOff>535983</xdr:colOff>
      <xdr:row>20</xdr:row>
      <xdr:rowOff>15498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17517</xdr:colOff>
      <xdr:row>5</xdr:row>
      <xdr:rowOff>78828</xdr:rowOff>
    </xdr:from>
    <xdr:to>
      <xdr:col>24</xdr:col>
      <xdr:colOff>249991</xdr:colOff>
      <xdr:row>19</xdr:row>
      <xdr:rowOff>177519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17517</xdr:colOff>
      <xdr:row>4</xdr:row>
      <xdr:rowOff>192689</xdr:rowOff>
    </xdr:from>
    <xdr:to>
      <xdr:col>39</xdr:col>
      <xdr:colOff>249991</xdr:colOff>
      <xdr:row>19</xdr:row>
      <xdr:rowOff>89932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284655</xdr:colOff>
      <xdr:row>5</xdr:row>
      <xdr:rowOff>108607</xdr:rowOff>
    </xdr:from>
    <xdr:to>
      <xdr:col>31</xdr:col>
      <xdr:colOff>564930</xdr:colOff>
      <xdr:row>19</xdr:row>
      <xdr:rowOff>119117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0</xdr:colOff>
      <xdr:row>5</xdr:row>
      <xdr:rowOff>0</xdr:rowOff>
    </xdr:from>
    <xdr:to>
      <xdr:col>47</xdr:col>
      <xdr:colOff>232474</xdr:colOff>
      <xdr:row>19</xdr:row>
      <xdr:rowOff>98691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0</xdr:colOff>
      <xdr:row>5</xdr:row>
      <xdr:rowOff>0</xdr:rowOff>
    </xdr:from>
    <xdr:to>
      <xdr:col>55</xdr:col>
      <xdr:colOff>232474</xdr:colOff>
      <xdr:row>19</xdr:row>
      <xdr:rowOff>96402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359352</xdr:colOff>
      <xdr:row>4</xdr:row>
      <xdr:rowOff>169718</xdr:rowOff>
    </xdr:from>
    <xdr:to>
      <xdr:col>63</xdr:col>
      <xdr:colOff>12988</xdr:colOff>
      <xdr:row>19</xdr:row>
      <xdr:rowOff>12123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"/>
  <sheetViews>
    <sheetView tabSelected="1" zoomScale="53" zoomScaleNormal="28" workbookViewId="0">
      <selection activeCell="K24" sqref="K24"/>
    </sheetView>
  </sheetViews>
  <sheetFormatPr defaultColWidth="9" defaultRowHeight="14.4"/>
  <cols>
    <col min="1" max="1" width="13.5546875" customWidth="1"/>
    <col min="2" max="2" width="12.6640625" customWidth="1"/>
    <col min="3" max="3" width="11.44140625" customWidth="1"/>
    <col min="4" max="4" width="13.5546875" customWidth="1"/>
    <col min="5" max="5" width="9" customWidth="1"/>
    <col min="6" max="8" width="10" customWidth="1"/>
    <col min="9" max="9" width="9.109375" customWidth="1"/>
  </cols>
  <sheetData>
    <row r="1" spans="1:10">
      <c r="A1" s="4" t="s">
        <v>0</v>
      </c>
      <c r="B1" s="4"/>
      <c r="C1" s="4"/>
    </row>
    <row r="2" spans="1:10" ht="15.6">
      <c r="A2" s="17" t="s">
        <v>1</v>
      </c>
      <c r="B2" s="18">
        <v>5</v>
      </c>
      <c r="C2" s="18">
        <v>10</v>
      </c>
      <c r="D2" s="18">
        <v>15</v>
      </c>
      <c r="E2" s="18">
        <v>20</v>
      </c>
      <c r="F2" s="18">
        <v>25</v>
      </c>
      <c r="G2" s="18">
        <v>30</v>
      </c>
      <c r="H2" s="18">
        <v>35</v>
      </c>
      <c r="I2" s="18">
        <v>60</v>
      </c>
      <c r="J2" s="2"/>
    </row>
    <row r="3" spans="1:10" ht="15.6">
      <c r="A3" s="17" t="s">
        <v>2</v>
      </c>
      <c r="B3" s="18">
        <v>71.5</v>
      </c>
      <c r="C3" s="18">
        <v>75.5</v>
      </c>
      <c r="D3" s="18">
        <v>77.099999999999994</v>
      </c>
      <c r="E3" s="18">
        <v>78</v>
      </c>
      <c r="F3" s="18">
        <v>78.2</v>
      </c>
      <c r="G3" s="18">
        <v>78.3</v>
      </c>
      <c r="H3" s="18">
        <v>78.400000000000006</v>
      </c>
      <c r="I3" s="18">
        <v>78.5</v>
      </c>
      <c r="J3" s="2"/>
    </row>
    <row r="5" spans="1:10" ht="15.6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</row>
    <row r="6" spans="1:10" ht="15.6">
      <c r="A6" s="18">
        <f>B2</f>
        <v>5</v>
      </c>
      <c r="B6" s="18">
        <f>B3</f>
        <v>71.5</v>
      </c>
      <c r="C6" s="20">
        <f>A6*B6</f>
        <v>357.5</v>
      </c>
      <c r="D6" s="20">
        <f>POWER(A6,2)</f>
        <v>25</v>
      </c>
      <c r="E6" s="20">
        <f>POWER(B6,2)</f>
        <v>5112.25</v>
      </c>
    </row>
    <row r="7" spans="1:10" ht="15.6">
      <c r="A7" s="18">
        <f>C2</f>
        <v>10</v>
      </c>
      <c r="B7" s="18">
        <f>C3</f>
        <v>75.5</v>
      </c>
      <c r="C7" s="20">
        <f t="shared" ref="C7:C13" si="0">A7*B7</f>
        <v>755</v>
      </c>
      <c r="D7" s="20">
        <f t="shared" ref="D7:D13" si="1">POWER(A7,2)</f>
        <v>100</v>
      </c>
      <c r="E7" s="20">
        <f t="shared" ref="E7:E13" si="2">POWER(B7,2)</f>
        <v>5700.25</v>
      </c>
    </row>
    <row r="8" spans="1:10" ht="15.6">
      <c r="A8" s="18">
        <f>D2</f>
        <v>15</v>
      </c>
      <c r="B8" s="18">
        <f>D3</f>
        <v>77.099999999999994</v>
      </c>
      <c r="C8" s="20">
        <f t="shared" si="0"/>
        <v>1156.5</v>
      </c>
      <c r="D8" s="20">
        <f t="shared" si="1"/>
        <v>225</v>
      </c>
      <c r="E8" s="20">
        <f t="shared" si="2"/>
        <v>5944.41</v>
      </c>
    </row>
    <row r="9" spans="1:10" ht="15.6">
      <c r="A9" s="18">
        <f>E2</f>
        <v>20</v>
      </c>
      <c r="B9" s="18">
        <f>E3</f>
        <v>78</v>
      </c>
      <c r="C9" s="20">
        <f t="shared" si="0"/>
        <v>1560</v>
      </c>
      <c r="D9" s="20">
        <f t="shared" si="1"/>
        <v>400</v>
      </c>
      <c r="E9" s="20">
        <f t="shared" si="2"/>
        <v>6084</v>
      </c>
    </row>
    <row r="10" spans="1:10" ht="15.6">
      <c r="A10" s="18">
        <f>F2</f>
        <v>25</v>
      </c>
      <c r="B10" s="18">
        <f>F3</f>
        <v>78.2</v>
      </c>
      <c r="C10" s="20">
        <f t="shared" si="0"/>
        <v>1955</v>
      </c>
      <c r="D10" s="20">
        <f t="shared" si="1"/>
        <v>625</v>
      </c>
      <c r="E10" s="20">
        <f t="shared" si="2"/>
        <v>6115.24</v>
      </c>
    </row>
    <row r="11" spans="1:10" ht="15.6">
      <c r="A11" s="18">
        <f>G2</f>
        <v>30</v>
      </c>
      <c r="B11" s="18">
        <f>G3</f>
        <v>78.3</v>
      </c>
      <c r="C11" s="20">
        <f t="shared" si="0"/>
        <v>2349</v>
      </c>
      <c r="D11" s="20">
        <f t="shared" si="1"/>
        <v>900</v>
      </c>
      <c r="E11" s="20">
        <f t="shared" si="2"/>
        <v>6130.89</v>
      </c>
    </row>
    <row r="12" spans="1:10" ht="15.6">
      <c r="A12" s="18">
        <f>H2</f>
        <v>35</v>
      </c>
      <c r="B12" s="18">
        <f>H3</f>
        <v>78.400000000000006</v>
      </c>
      <c r="C12" s="20">
        <f t="shared" si="0"/>
        <v>2744</v>
      </c>
      <c r="D12" s="20">
        <f t="shared" si="1"/>
        <v>1225</v>
      </c>
      <c r="E12" s="20">
        <f t="shared" si="2"/>
        <v>6146.56</v>
      </c>
    </row>
    <row r="13" spans="1:10" ht="15.6">
      <c r="A13" s="18">
        <f>I2</f>
        <v>60</v>
      </c>
      <c r="B13" s="18">
        <f>I3</f>
        <v>78.5</v>
      </c>
      <c r="C13" s="20">
        <f t="shared" si="0"/>
        <v>4710</v>
      </c>
      <c r="D13" s="20">
        <f t="shared" si="1"/>
        <v>3600</v>
      </c>
      <c r="E13" s="20">
        <f t="shared" si="2"/>
        <v>6162.25</v>
      </c>
    </row>
    <row r="14" spans="1:10" ht="15.6">
      <c r="A14" s="21">
        <f>SUM(A6:A13)</f>
        <v>200</v>
      </c>
      <c r="B14" s="21">
        <f>SUM(B6:B13)</f>
        <v>615.5</v>
      </c>
      <c r="C14" s="21">
        <f>SUM(C6:C13)</f>
        <v>15587</v>
      </c>
      <c r="D14" s="21">
        <f>SUM(D6:D13)</f>
        <v>7100</v>
      </c>
      <c r="E14" s="21">
        <f>SUM(E6:E13)</f>
        <v>47395.85</v>
      </c>
    </row>
    <row r="15" spans="1:10">
      <c r="A15" s="12" t="s">
        <v>8</v>
      </c>
      <c r="B15" s="14">
        <f>COUNT(A6:A13)</f>
        <v>8</v>
      </c>
    </row>
    <row r="16" spans="1:10">
      <c r="A16" s="13" t="s">
        <v>9</v>
      </c>
      <c r="B16" s="15">
        <f>CORREL(A6:A13,B6:B13)</f>
        <v>0.68140199711479099</v>
      </c>
      <c r="C16" s="13" t="s">
        <v>10</v>
      </c>
      <c r="D16" s="16">
        <f>ABS(B16)*SQRT((B15-2)/(1-B16^2))</f>
        <v>2.2804561368456202</v>
      </c>
      <c r="E16" s="13" t="s">
        <v>11</v>
      </c>
      <c r="F16" s="16">
        <f>_xlfn.T.INV.2T(0.05,B15-2)</f>
        <v>2.4469118511449701</v>
      </c>
    </row>
    <row r="18" spans="1:30" ht="15" thickBot="1">
      <c r="A18" t="s">
        <v>12</v>
      </c>
    </row>
    <row r="19" spans="1:30">
      <c r="A19" s="6">
        <f>B15</f>
        <v>8</v>
      </c>
      <c r="B19" s="7">
        <f>A14</f>
        <v>200</v>
      </c>
      <c r="D19" s="10">
        <f>B14</f>
        <v>615.5</v>
      </c>
    </row>
    <row r="20" spans="1:30" ht="15" thickBot="1">
      <c r="A20" s="8">
        <f>A14</f>
        <v>200</v>
      </c>
      <c r="B20" s="9">
        <f>D14</f>
        <v>7100</v>
      </c>
      <c r="D20" s="11">
        <f>C14</f>
        <v>15587</v>
      </c>
    </row>
    <row r="21" spans="1:30" ht="15" thickBot="1"/>
    <row r="22" spans="1:30">
      <c r="A22">
        <f t="array" ref="A22:B23">MINVERSE(A19:B20)</f>
        <v>0.422619047619048</v>
      </c>
      <c r="B22">
        <v>-1.1904761904761901E-2</v>
      </c>
      <c r="C22" s="22" t="s">
        <v>13</v>
      </c>
      <c r="D22" s="24">
        <f t="array" ref="D22:D23">MMULT(A22:B23,D19:D20)</f>
        <v>74.5625</v>
      </c>
      <c r="AA22" s="5" t="s">
        <v>14</v>
      </c>
      <c r="AB22" s="5"/>
      <c r="AC22" s="5"/>
      <c r="AD22" s="5"/>
    </row>
    <row r="23" spans="1:30" ht="15" thickBot="1">
      <c r="A23">
        <v>-1.1904761904761901E-2</v>
      </c>
      <c r="B23">
        <v>4.7619047619047597E-4</v>
      </c>
      <c r="C23" s="23" t="s">
        <v>15</v>
      </c>
      <c r="D23" s="25">
        <v>9.5000000000000598E-2</v>
      </c>
    </row>
    <row r="25" spans="1:30">
      <c r="A25" s="3" t="s">
        <v>16</v>
      </c>
      <c r="B25" s="3"/>
      <c r="C25" s="3"/>
      <c r="D25" s="3" t="s">
        <v>17</v>
      </c>
      <c r="E25" s="3"/>
      <c r="F25" s="3"/>
      <c r="G25" s="3" t="s">
        <v>18</v>
      </c>
    </row>
    <row r="26" spans="1:30">
      <c r="A26" s="3" t="s">
        <v>19</v>
      </c>
      <c r="B26" s="3" t="s">
        <v>20</v>
      </c>
      <c r="C26" s="3"/>
      <c r="D26" s="3" t="s">
        <v>21</v>
      </c>
      <c r="E26" s="3" t="s">
        <v>22</v>
      </c>
      <c r="F26" s="3"/>
      <c r="G26" s="3" t="s">
        <v>21</v>
      </c>
      <c r="H26" s="3" t="s">
        <v>23</v>
      </c>
    </row>
    <row r="27" spans="1:30">
      <c r="A27" s="3">
        <f>1/A6</f>
        <v>0.2</v>
      </c>
      <c r="B27" s="3">
        <f t="shared" ref="B27:B34" si="3">B6</f>
        <v>71.5</v>
      </c>
      <c r="C27" s="3"/>
      <c r="D27" s="3">
        <f t="shared" ref="D27:D34" si="4">A6</f>
        <v>5</v>
      </c>
      <c r="E27" s="3">
        <f t="shared" ref="E27:E34" si="5">LN(ABS(B6))</f>
        <v>4.2696974496999598</v>
      </c>
      <c r="F27" s="3"/>
      <c r="G27" s="3">
        <f t="shared" ref="G27:G34" si="6">A6</f>
        <v>5</v>
      </c>
      <c r="H27" s="3">
        <f t="shared" ref="H27:H34" si="7">1/B6</f>
        <v>1.3986013986014E-2</v>
      </c>
    </row>
    <row r="28" spans="1:30">
      <c r="A28" s="3">
        <f t="shared" ref="A28:A34" si="8">1/A7</f>
        <v>0.1</v>
      </c>
      <c r="B28" s="3">
        <f t="shared" si="3"/>
        <v>75.5</v>
      </c>
      <c r="C28" s="3"/>
      <c r="D28" s="3">
        <f t="shared" si="4"/>
        <v>10</v>
      </c>
      <c r="E28" s="3">
        <f t="shared" si="5"/>
        <v>4.3241326562549798</v>
      </c>
      <c r="F28" s="3"/>
      <c r="G28" s="3">
        <f t="shared" si="6"/>
        <v>10</v>
      </c>
      <c r="H28" s="3">
        <f t="shared" si="7"/>
        <v>1.3245033112582801E-2</v>
      </c>
    </row>
    <row r="29" spans="1:30">
      <c r="A29" s="3">
        <f t="shared" si="8"/>
        <v>6.6666666666666693E-2</v>
      </c>
      <c r="B29" s="3">
        <f t="shared" si="3"/>
        <v>77.099999999999994</v>
      </c>
      <c r="C29" s="3"/>
      <c r="D29" s="3">
        <f t="shared" si="4"/>
        <v>15</v>
      </c>
      <c r="E29" s="3">
        <f t="shared" si="5"/>
        <v>4.3451032805692797</v>
      </c>
      <c r="F29" s="3"/>
      <c r="G29" s="3">
        <f t="shared" si="6"/>
        <v>15</v>
      </c>
      <c r="H29" s="3">
        <f t="shared" si="7"/>
        <v>1.2970168612191999E-2</v>
      </c>
    </row>
    <row r="30" spans="1:30">
      <c r="A30" s="3">
        <f t="shared" si="8"/>
        <v>0.05</v>
      </c>
      <c r="B30" s="3">
        <f t="shared" si="3"/>
        <v>78</v>
      </c>
      <c r="C30" s="3"/>
      <c r="D30" s="3">
        <f t="shared" si="4"/>
        <v>20</v>
      </c>
      <c r="E30" s="3">
        <f t="shared" si="5"/>
        <v>4.3567088266895899</v>
      </c>
      <c r="F30" s="3"/>
      <c r="G30" s="3">
        <f t="shared" si="6"/>
        <v>20</v>
      </c>
      <c r="H30" s="3">
        <f t="shared" si="7"/>
        <v>1.2820512820512799E-2</v>
      </c>
    </row>
    <row r="31" spans="1:30">
      <c r="A31" s="3">
        <f t="shared" si="8"/>
        <v>0.04</v>
      </c>
      <c r="B31" s="3">
        <f t="shared" si="3"/>
        <v>78.2</v>
      </c>
      <c r="C31" s="3"/>
      <c r="D31" s="3">
        <f t="shared" si="4"/>
        <v>25</v>
      </c>
      <c r="E31" s="3">
        <f t="shared" si="5"/>
        <v>4.3592696475512698</v>
      </c>
      <c r="F31" s="3"/>
      <c r="G31" s="3">
        <f t="shared" si="6"/>
        <v>25</v>
      </c>
      <c r="H31" s="3">
        <f t="shared" si="7"/>
        <v>1.27877237851662E-2</v>
      </c>
    </row>
    <row r="32" spans="1:30">
      <c r="A32" s="3">
        <f t="shared" si="8"/>
        <v>3.3333333333333298E-2</v>
      </c>
      <c r="B32" s="3">
        <f t="shared" si="3"/>
        <v>78.3</v>
      </c>
      <c r="C32" s="3"/>
      <c r="D32" s="3">
        <f t="shared" si="4"/>
        <v>30</v>
      </c>
      <c r="E32" s="3">
        <f t="shared" si="5"/>
        <v>4.3605476029967596</v>
      </c>
      <c r="F32" s="3"/>
      <c r="G32" s="3">
        <f t="shared" si="6"/>
        <v>30</v>
      </c>
      <c r="H32" s="3">
        <f t="shared" si="7"/>
        <v>1.27713920817369E-2</v>
      </c>
    </row>
    <row r="33" spans="1:8">
      <c r="A33" s="3">
        <f t="shared" si="8"/>
        <v>2.8571428571428598E-2</v>
      </c>
      <c r="B33" s="3">
        <f t="shared" si="3"/>
        <v>78.400000000000006</v>
      </c>
      <c r="C33" s="3"/>
      <c r="D33" s="3">
        <f t="shared" si="4"/>
        <v>35</v>
      </c>
      <c r="E33" s="3">
        <f t="shared" si="5"/>
        <v>4.3618239273563599</v>
      </c>
      <c r="F33" s="3"/>
      <c r="G33" s="3">
        <f t="shared" si="6"/>
        <v>35</v>
      </c>
      <c r="H33" s="3">
        <f t="shared" si="7"/>
        <v>1.2755102040816301E-2</v>
      </c>
    </row>
    <row r="34" spans="1:8">
      <c r="A34" s="3">
        <f t="shared" si="8"/>
        <v>1.6666666666666701E-2</v>
      </c>
      <c r="B34" s="3">
        <f t="shared" si="3"/>
        <v>78.5</v>
      </c>
      <c r="C34" s="3"/>
      <c r="D34" s="3">
        <f t="shared" si="4"/>
        <v>60</v>
      </c>
      <c r="E34" s="3">
        <f t="shared" si="5"/>
        <v>4.3630986247883596</v>
      </c>
      <c r="F34" s="3"/>
      <c r="G34" s="3">
        <f t="shared" si="6"/>
        <v>60</v>
      </c>
      <c r="H34" s="3">
        <f t="shared" si="7"/>
        <v>1.27388535031847E-2</v>
      </c>
    </row>
    <row r="36" spans="1:8" ht="15.6">
      <c r="A36" s="26" t="s">
        <v>24</v>
      </c>
      <c r="B36" s="19" t="s">
        <v>25</v>
      </c>
      <c r="C36" s="26" t="s">
        <v>26</v>
      </c>
      <c r="D36" s="26" t="s">
        <v>27</v>
      </c>
    </row>
    <row r="37" spans="1:8" ht="15.6">
      <c r="A37" s="27">
        <f>1/A6</f>
        <v>0.2</v>
      </c>
      <c r="B37" s="18">
        <f>B6</f>
        <v>71.5</v>
      </c>
      <c r="C37" s="28">
        <f>B37*A37</f>
        <v>14.3</v>
      </c>
      <c r="D37" s="28">
        <f t="shared" ref="D37:D44" si="9">A37^2</f>
        <v>0.04</v>
      </c>
    </row>
    <row r="38" spans="1:8" ht="15.6">
      <c r="A38" s="27">
        <f t="shared" ref="A38:A44" si="10">1/A7</f>
        <v>0.1</v>
      </c>
      <c r="B38" s="18">
        <f t="shared" ref="B38:B44" si="11">B7</f>
        <v>75.5</v>
      </c>
      <c r="C38" s="28">
        <f t="shared" ref="C38:C44" si="12">B38*A38</f>
        <v>7.55</v>
      </c>
      <c r="D38" s="28">
        <f t="shared" si="9"/>
        <v>0.01</v>
      </c>
    </row>
    <row r="39" spans="1:8" ht="15.6">
      <c r="A39" s="27">
        <f t="shared" si="10"/>
        <v>6.6666666666666693E-2</v>
      </c>
      <c r="B39" s="18">
        <f t="shared" si="11"/>
        <v>77.099999999999994</v>
      </c>
      <c r="C39" s="28">
        <f t="shared" si="12"/>
        <v>5.14</v>
      </c>
      <c r="D39" s="28">
        <f t="shared" si="9"/>
        <v>4.4444444444444401E-3</v>
      </c>
    </row>
    <row r="40" spans="1:8" ht="15.6">
      <c r="A40" s="27">
        <f t="shared" si="10"/>
        <v>0.05</v>
      </c>
      <c r="B40" s="18">
        <f t="shared" si="11"/>
        <v>78</v>
      </c>
      <c r="C40" s="28">
        <f t="shared" si="12"/>
        <v>3.9</v>
      </c>
      <c r="D40" s="28">
        <f t="shared" si="9"/>
        <v>2.5000000000000001E-3</v>
      </c>
    </row>
    <row r="41" spans="1:8" ht="15.6">
      <c r="A41" s="27">
        <f t="shared" si="10"/>
        <v>0.04</v>
      </c>
      <c r="B41" s="18">
        <f t="shared" si="11"/>
        <v>78.2</v>
      </c>
      <c r="C41" s="28">
        <f t="shared" si="12"/>
        <v>3.1280000000000001</v>
      </c>
      <c r="D41" s="28">
        <f t="shared" si="9"/>
        <v>1.6000000000000001E-3</v>
      </c>
    </row>
    <row r="42" spans="1:8" ht="15.6">
      <c r="A42" s="27">
        <f t="shared" si="10"/>
        <v>3.3333333333333298E-2</v>
      </c>
      <c r="B42" s="18">
        <f t="shared" si="11"/>
        <v>78.3</v>
      </c>
      <c r="C42" s="28">
        <f t="shared" si="12"/>
        <v>2.61</v>
      </c>
      <c r="D42" s="28">
        <f t="shared" si="9"/>
        <v>1.11111111111111E-3</v>
      </c>
    </row>
    <row r="43" spans="1:8" ht="15.6">
      <c r="A43" s="27">
        <f t="shared" si="10"/>
        <v>2.8571428571428598E-2</v>
      </c>
      <c r="B43" s="18">
        <f t="shared" si="11"/>
        <v>78.400000000000006</v>
      </c>
      <c r="C43" s="28">
        <f t="shared" si="12"/>
        <v>2.2400000000000002</v>
      </c>
      <c r="D43" s="28">
        <f t="shared" si="9"/>
        <v>8.1632653061224504E-4</v>
      </c>
    </row>
    <row r="44" spans="1:8" ht="15.6">
      <c r="A44" s="27">
        <f t="shared" si="10"/>
        <v>1.6666666666666701E-2</v>
      </c>
      <c r="B44" s="18">
        <f t="shared" si="11"/>
        <v>78.5</v>
      </c>
      <c r="C44" s="28">
        <f t="shared" si="12"/>
        <v>1.30833333333333</v>
      </c>
      <c r="D44" s="28">
        <f t="shared" si="9"/>
        <v>2.7777777777777799E-4</v>
      </c>
    </row>
    <row r="45" spans="1:8" ht="15.6">
      <c r="A45" s="29">
        <f>SUM(A37:A44)</f>
        <v>0.53523809523809496</v>
      </c>
      <c r="B45" s="21">
        <f>SUM(B37:B44)</f>
        <v>615.5</v>
      </c>
      <c r="C45" s="30">
        <f>SUM(C37:C44)</f>
        <v>40.176333333333297</v>
      </c>
      <c r="D45" s="29">
        <f>SUM(D37:D44)</f>
        <v>6.07496598639456E-2</v>
      </c>
    </row>
    <row r="46" spans="1:8">
      <c r="A46" s="12" t="s">
        <v>8</v>
      </c>
      <c r="B46" s="14">
        <f>COUNT(A37:A44)</f>
        <v>8</v>
      </c>
    </row>
    <row r="47" spans="1:8">
      <c r="A47" s="13" t="s">
        <v>9</v>
      </c>
      <c r="B47" s="15">
        <f>CORREL(A37:A44,B37:B44)</f>
        <v>-0.99463256407968503</v>
      </c>
      <c r="C47" s="13" t="s">
        <v>10</v>
      </c>
      <c r="D47" s="16">
        <f>ABS(B47)*SQRT((B46-2)/(1-B47^2))</f>
        <v>23.546340088778098</v>
      </c>
      <c r="E47" s="13" t="s">
        <v>11</v>
      </c>
      <c r="F47" s="16">
        <f>_xlfn.T.INV.2T(0.05,B46-2)</f>
        <v>2.4469118511449701</v>
      </c>
    </row>
    <row r="54" spans="1:1">
      <c r="A54" s="1"/>
    </row>
  </sheetData>
  <mergeCells count="2">
    <mergeCell ref="A1:C1"/>
    <mergeCell ref="AA22:AD22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Камилла Высоцкая</dc:creator>
  <cp:lastModifiedBy>Глеб Бабашинский</cp:lastModifiedBy>
  <dcterms:created xsi:type="dcterms:W3CDTF">2015-06-05T18:19:00Z</dcterms:created>
  <dcterms:modified xsi:type="dcterms:W3CDTF">2024-12-17T13:54:03Z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AC385C1BAC144CEE9F2498B42D958185_12</vt:lpwstr>
  </property>
  <property fmtid="{D5CDD505-2E9C-101B-9397-08002B2CF9AE}" pid="3" name="KSOProductBuildVer">
    <vt:lpwstr>1049-12.2.0.19307</vt:lpwstr>
  </property>
</Properties>
</file>