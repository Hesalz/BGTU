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БГТУ\III сем\ТерВер\"/>
    </mc:Choice>
  </mc:AlternateContent>
  <xr:revisionPtr revIDLastSave="0" documentId="13_ncr:1_{CEC6E88B-5EBC-4586-8B27-E8D07BB0D426}" xr6:coauthVersionLast="47" xr6:coauthVersionMax="47" xr10:uidLastSave="{00000000-0000-0000-0000-000000000000}"/>
  <bookViews>
    <workbookView minimized="1" xWindow="2304" yWindow="2304" windowWidth="17280" windowHeight="9960" xr2:uid="{F82DD594-297E-4D6D-9610-9DBB18673E4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38" i="1"/>
  <c r="M17" i="1"/>
  <c r="B37" i="1" l="1"/>
  <c r="A30" i="1" l="1"/>
  <c r="D14" i="1"/>
  <c r="B14" i="1"/>
  <c r="A18" i="1" s="1"/>
  <c r="F14" i="1" l="1"/>
  <c r="C15" i="1" s="1"/>
  <c r="G15" i="1" l="1"/>
  <c r="B18" i="1" s="1"/>
  <c r="B30" i="1" l="1"/>
  <c r="C18" i="1"/>
  <c r="E18" i="1"/>
  <c r="A19" i="1"/>
  <c r="A31" i="1" s="1"/>
  <c r="B19" i="1"/>
  <c r="E19" i="1" s="1"/>
  <c r="C31" i="1" s="1"/>
  <c r="C30" i="1" l="1"/>
  <c r="C19" i="1"/>
  <c r="B31" i="1"/>
  <c r="A20" i="1"/>
  <c r="A32" i="1" s="1"/>
  <c r="B20" i="1" l="1"/>
  <c r="E20" i="1" s="1"/>
  <c r="C32" i="1" l="1"/>
  <c r="A21" i="1"/>
  <c r="A33" i="1" s="1"/>
  <c r="B32" i="1"/>
  <c r="C20" i="1"/>
  <c r="B21" i="1" l="1"/>
  <c r="E21" i="1" l="1"/>
  <c r="C33" i="1" s="1"/>
  <c r="B33" i="1"/>
  <c r="A22" i="1"/>
  <c r="A34" i="1" s="1"/>
  <c r="C21" i="1"/>
  <c r="B22" i="1" l="1"/>
  <c r="E22" i="1" l="1"/>
  <c r="C34" i="1" s="1"/>
  <c r="B34" i="1"/>
  <c r="C22" i="1"/>
  <c r="A23" i="1"/>
  <c r="A35" i="1" s="1"/>
  <c r="B23" i="1" l="1"/>
  <c r="E23" i="1" l="1"/>
  <c r="C35" i="1" s="1"/>
  <c r="B35" i="1"/>
  <c r="A24" i="1"/>
  <c r="A36" i="1" s="1"/>
  <c r="C23" i="1"/>
  <c r="B24" i="1" l="1"/>
  <c r="E24" i="1" l="1"/>
  <c r="C36" i="1" s="1"/>
  <c r="B36" i="1"/>
  <c r="A25" i="1"/>
  <c r="A37" i="1" s="1"/>
  <c r="C24" i="1"/>
  <c r="B25" i="1" l="1"/>
  <c r="E25" i="1" s="1"/>
  <c r="C37" i="1" l="1"/>
  <c r="E26" i="1"/>
  <c r="C25" i="1"/>
  <c r="J19" i="1" l="1"/>
  <c r="J20" i="1" s="1"/>
  <c r="C38" i="1"/>
  <c r="F25" i="1" l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J21" i="1"/>
  <c r="D37" i="1" l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D38" i="1" l="1"/>
  <c r="E30" i="1"/>
  <c r="F31" i="1"/>
  <c r="G31" i="1" s="1"/>
  <c r="H31" i="1" s="1"/>
  <c r="I31" i="1"/>
  <c r="F32" i="1"/>
  <c r="G32" i="1" s="1"/>
  <c r="H32" i="1" s="1"/>
  <c r="I32" i="1"/>
  <c r="I33" i="1"/>
  <c r="F33" i="1"/>
  <c r="G33" i="1" s="1"/>
  <c r="H33" i="1" s="1"/>
  <c r="F34" i="1"/>
  <c r="G34" i="1" s="1"/>
  <c r="H34" i="1" s="1"/>
  <c r="I34" i="1"/>
  <c r="F35" i="1"/>
  <c r="G35" i="1" s="1"/>
  <c r="H35" i="1" s="1"/>
  <c r="I35" i="1"/>
  <c r="F36" i="1"/>
  <c r="G36" i="1" s="1"/>
  <c r="H36" i="1" s="1"/>
  <c r="I36" i="1"/>
  <c r="I37" i="1"/>
  <c r="F37" i="1"/>
  <c r="G37" i="1" s="1"/>
  <c r="H37" i="1" s="1"/>
  <c r="E38" i="1" l="1"/>
  <c r="F30" i="1"/>
  <c r="G30" i="1" s="1"/>
  <c r="H30" i="1" s="1"/>
  <c r="I30" i="1"/>
  <c r="I38" i="1" s="1"/>
</calcChain>
</file>

<file path=xl/sharedStrings.xml><?xml version="1.0" encoding="utf-8"?>
<sst xmlns="http://schemas.openxmlformats.org/spreadsheetml/2006/main" count="36" uniqueCount="33">
  <si>
    <t>Исходные данные</t>
  </si>
  <si>
    <t>Кол-во интервалов</t>
  </si>
  <si>
    <t xml:space="preserve">k= </t>
  </si>
  <si>
    <t>min=</t>
  </si>
  <si>
    <t xml:space="preserve">max= </t>
  </si>
  <si>
    <t>W=</t>
  </si>
  <si>
    <t>Длина интервалов</t>
  </si>
  <si>
    <t xml:space="preserve">округляем </t>
  </si>
  <si>
    <t>h=</t>
  </si>
  <si>
    <t>Интервальный статический ряд</t>
  </si>
  <si>
    <t>[xi;</t>
  </si>
  <si>
    <t>xi*</t>
  </si>
  <si>
    <t>ni</t>
  </si>
  <si>
    <t>ni/n</t>
  </si>
  <si>
    <t>ni/n/h</t>
  </si>
  <si>
    <t>Выборочное среднее:</t>
  </si>
  <si>
    <t>a=</t>
  </si>
  <si>
    <t>Среднее квадратичное отклонение</t>
  </si>
  <si>
    <t>Dв=</t>
  </si>
  <si>
    <t>s^2=</t>
  </si>
  <si>
    <t>s=</t>
  </si>
  <si>
    <t>xi+1)</t>
  </si>
  <si>
    <t>pi</t>
  </si>
  <si>
    <t>n*pi</t>
  </si>
  <si>
    <t>ni-n*pi</t>
  </si>
  <si>
    <t>(ni-n*pi)^2</t>
  </si>
  <si>
    <t>(ni-n*pi)^2/n*pi</t>
  </si>
  <si>
    <t>ni^2/n*pi</t>
  </si>
  <si>
    <t>x^2расч=</t>
  </si>
  <si>
    <t>x^2критич=</t>
  </si>
  <si>
    <t>k-r-1=</t>
  </si>
  <si>
    <t>&lt;- Выборочная дисперсия</t>
  </si>
  <si>
    <t>Суммы: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</si>
</sst>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8"/>
      <color theme="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7F5"/>
        <bgColor indexed="64"/>
      </patternFill>
    </fill>
    <fill>
      <patternFill patternType="solid">
        <fgColor rgb="FFFFB9D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10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7" xfId="0" applyBorder="1" applyAlignment="1">
      <alignment horizontal="left"/>
    </xf>
    <xf numFmtId="0" fontId="0" fillId="3" borderId="2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/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DF7F5"/>
      <color rgb="FFE20000"/>
      <color rgb="FFFF65B2"/>
      <color rgb="FFFF99CC"/>
      <color rgb="FFFFB9DC"/>
      <color rgb="FF6A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относительных частот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Лист1!$C$18:$C$25</c:f>
              <c:numCache>
                <c:formatCode>General</c:formatCode>
                <c:ptCount val="8"/>
                <c:pt idx="0">
                  <c:v>32.6</c:v>
                </c:pt>
                <c:pt idx="1">
                  <c:v>37.800000000000004</c:v>
                </c:pt>
                <c:pt idx="2">
                  <c:v>43.000000000000007</c:v>
                </c:pt>
                <c:pt idx="3">
                  <c:v>48.20000000000001</c:v>
                </c:pt>
                <c:pt idx="4">
                  <c:v>53.400000000000013</c:v>
                </c:pt>
                <c:pt idx="5">
                  <c:v>58.600000000000016</c:v>
                </c:pt>
                <c:pt idx="6">
                  <c:v>63.800000000000018</c:v>
                </c:pt>
                <c:pt idx="7">
                  <c:v>69.000000000000028</c:v>
                </c:pt>
              </c:numCache>
            </c:numRef>
          </c:cat>
          <c:val>
            <c:numRef>
              <c:f>Лист1!$G$18:$G$25</c:f>
              <c:numCache>
                <c:formatCode>General</c:formatCode>
                <c:ptCount val="8"/>
                <c:pt idx="0">
                  <c:v>5.7692307692307687E-3</c:v>
                </c:pt>
                <c:pt idx="1">
                  <c:v>5.7692307692307687E-3</c:v>
                </c:pt>
                <c:pt idx="2">
                  <c:v>2.5000000000000001E-2</c:v>
                </c:pt>
                <c:pt idx="3">
                  <c:v>3.2692307692307694E-2</c:v>
                </c:pt>
                <c:pt idx="4">
                  <c:v>6.1538461538461535E-2</c:v>
                </c:pt>
                <c:pt idx="5">
                  <c:v>4.038461538461538E-2</c:v>
                </c:pt>
                <c:pt idx="6">
                  <c:v>1.3461538461538462E-2</c:v>
                </c:pt>
                <c:pt idx="7">
                  <c:v>7.6923076923076919E-3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9-48D0-8FDB-33C300394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897840"/>
        <c:axId val="686905400"/>
      </c:barChart>
      <c:catAx>
        <c:axId val="68689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86905400"/>
        <c:crosses val="autoZero"/>
        <c:auto val="1"/>
        <c:lblAlgn val="ctr"/>
        <c:lblOffset val="100"/>
        <c:noMultiLvlLbl val="0"/>
      </c:catAx>
      <c:valAx>
        <c:axId val="68690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868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21</xdr:row>
      <xdr:rowOff>167640</xdr:rowOff>
    </xdr:from>
    <xdr:to>
      <xdr:col>20</xdr:col>
      <xdr:colOff>7620</xdr:colOff>
      <xdr:row>36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737A3B-DBD7-3F13-0C09-B20452995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1392-1955-4FD4-A9AB-9B7DB7F3B941}">
  <dimension ref="A1:M39"/>
  <sheetViews>
    <sheetView tabSelected="1" topLeftCell="A8" workbookViewId="0">
      <selection activeCell="I27" sqref="I27"/>
    </sheetView>
  </sheetViews>
  <sheetFormatPr defaultRowHeight="14.4" x14ac:dyDescent="0.3"/>
  <cols>
    <col min="7" max="7" width="10.6640625" customWidth="1"/>
    <col min="8" max="8" width="13.88671875" customWidth="1"/>
  </cols>
  <sheetData>
    <row r="1" spans="1:13" ht="15" thickBot="1" x14ac:dyDescent="0.3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</row>
    <row r="2" spans="1:13" ht="15" x14ac:dyDescent="0.3">
      <c r="A2" s="2">
        <v>38</v>
      </c>
      <c r="B2" s="3">
        <v>41</v>
      </c>
      <c r="C2" s="3">
        <v>47</v>
      </c>
      <c r="D2" s="3">
        <v>52</v>
      </c>
      <c r="E2" s="3">
        <v>45</v>
      </c>
      <c r="F2" s="3">
        <v>63</v>
      </c>
      <c r="G2" s="3">
        <v>51</v>
      </c>
      <c r="H2" s="3">
        <v>55</v>
      </c>
      <c r="I2" s="3">
        <v>51</v>
      </c>
      <c r="J2" s="4">
        <v>54</v>
      </c>
    </row>
    <row r="3" spans="1:13" ht="15" x14ac:dyDescent="0.3">
      <c r="A3" s="5">
        <v>55</v>
      </c>
      <c r="B3" s="1">
        <v>62</v>
      </c>
      <c r="C3" s="1">
        <v>60</v>
      </c>
      <c r="D3" s="1">
        <v>43</v>
      </c>
      <c r="E3" s="1">
        <v>54</v>
      </c>
      <c r="F3" s="1">
        <v>49</v>
      </c>
      <c r="G3" s="1">
        <v>53</v>
      </c>
      <c r="H3" s="1">
        <v>50</v>
      </c>
      <c r="I3" s="1">
        <v>49</v>
      </c>
      <c r="J3" s="6">
        <v>30</v>
      </c>
    </row>
    <row r="4" spans="1:13" ht="15" x14ac:dyDescent="0.3">
      <c r="A4" s="5">
        <v>70</v>
      </c>
      <c r="B4" s="1">
        <v>41</v>
      </c>
      <c r="C4" s="1">
        <v>56</v>
      </c>
      <c r="D4" s="1">
        <v>49</v>
      </c>
      <c r="E4" s="1">
        <v>64</v>
      </c>
      <c r="F4" s="1">
        <v>45</v>
      </c>
      <c r="G4" s="1">
        <v>55</v>
      </c>
      <c r="H4" s="1">
        <v>55</v>
      </c>
      <c r="I4" s="1">
        <v>47</v>
      </c>
      <c r="J4" s="6">
        <v>54</v>
      </c>
    </row>
    <row r="5" spans="1:13" ht="15" x14ac:dyDescent="0.3">
      <c r="A5" s="5">
        <v>47</v>
      </c>
      <c r="B5" s="1">
        <v>48</v>
      </c>
      <c r="C5" s="1">
        <v>52</v>
      </c>
      <c r="D5" s="1">
        <v>53</v>
      </c>
      <c r="E5" s="1">
        <v>52</v>
      </c>
      <c r="F5" s="1">
        <v>60</v>
      </c>
      <c r="G5" s="1">
        <v>39</v>
      </c>
      <c r="H5" s="1">
        <v>58</v>
      </c>
      <c r="I5" s="1">
        <v>52</v>
      </c>
      <c r="J5" s="6">
        <v>69</v>
      </c>
    </row>
    <row r="6" spans="1:13" ht="15" x14ac:dyDescent="0.3">
      <c r="A6" s="5">
        <v>64</v>
      </c>
      <c r="B6" s="1">
        <v>54</v>
      </c>
      <c r="C6" s="1">
        <v>60</v>
      </c>
      <c r="D6" s="1">
        <v>57</v>
      </c>
      <c r="E6" s="1">
        <v>35</v>
      </c>
      <c r="F6" s="1">
        <v>58</v>
      </c>
      <c r="G6" s="1">
        <v>59</v>
      </c>
      <c r="H6" s="1">
        <v>57</v>
      </c>
      <c r="I6" s="1">
        <v>60</v>
      </c>
      <c r="J6" s="6">
        <v>51</v>
      </c>
      <c r="M6" s="14"/>
    </row>
    <row r="7" spans="1:13" ht="15" x14ac:dyDescent="0.3">
      <c r="A7" s="5">
        <v>56</v>
      </c>
      <c r="B7" s="1">
        <v>54</v>
      </c>
      <c r="C7" s="1">
        <v>46</v>
      </c>
      <c r="D7" s="1">
        <v>59</v>
      </c>
      <c r="E7" s="1">
        <v>44</v>
      </c>
      <c r="F7" s="1">
        <v>49</v>
      </c>
      <c r="G7" s="1">
        <v>57</v>
      </c>
      <c r="H7" s="1">
        <v>38</v>
      </c>
      <c r="I7" s="1">
        <v>54</v>
      </c>
      <c r="J7" s="6">
        <v>56</v>
      </c>
    </row>
    <row r="8" spans="1:13" ht="15" x14ac:dyDescent="0.3">
      <c r="A8" s="5">
        <v>51</v>
      </c>
      <c r="B8" s="1">
        <v>41</v>
      </c>
      <c r="C8" s="1">
        <v>52</v>
      </c>
      <c r="D8" s="1">
        <v>45</v>
      </c>
      <c r="E8" s="1">
        <v>58</v>
      </c>
      <c r="F8" s="1">
        <v>45</v>
      </c>
      <c r="G8" s="1">
        <v>51</v>
      </c>
      <c r="H8" s="1">
        <v>54</v>
      </c>
      <c r="I8" s="1">
        <v>50</v>
      </c>
      <c r="J8" s="6">
        <v>46</v>
      </c>
    </row>
    <row r="9" spans="1:13" ht="15" x14ac:dyDescent="0.3">
      <c r="A9" s="5">
        <v>52</v>
      </c>
      <c r="B9" s="1">
        <v>61</v>
      </c>
      <c r="C9" s="1">
        <v>54</v>
      </c>
      <c r="D9" s="1">
        <v>64</v>
      </c>
      <c r="E9" s="1">
        <v>47</v>
      </c>
      <c r="F9" s="1">
        <v>55</v>
      </c>
      <c r="G9" s="1">
        <v>47</v>
      </c>
      <c r="H9" s="1">
        <v>41</v>
      </c>
      <c r="I9" s="1">
        <v>49</v>
      </c>
      <c r="J9" s="6">
        <v>53</v>
      </c>
    </row>
    <row r="10" spans="1:13" ht="15" x14ac:dyDescent="0.3">
      <c r="A10" s="5">
        <v>61</v>
      </c>
      <c r="B10" s="1">
        <v>58</v>
      </c>
      <c r="C10" s="1">
        <v>64</v>
      </c>
      <c r="D10" s="1">
        <v>51</v>
      </c>
      <c r="E10" s="1">
        <v>42</v>
      </c>
      <c r="F10" s="1">
        <v>71</v>
      </c>
      <c r="G10" s="1">
        <v>51</v>
      </c>
      <c r="H10" s="1">
        <v>71</v>
      </c>
      <c r="I10" s="1">
        <v>47</v>
      </c>
      <c r="J10" s="6">
        <v>35</v>
      </c>
    </row>
    <row r="11" spans="1:13" ht="15.6" thickBot="1" x14ac:dyDescent="0.35">
      <c r="A11" s="7">
        <v>52</v>
      </c>
      <c r="B11" s="8">
        <v>59</v>
      </c>
      <c r="C11" s="8">
        <v>56</v>
      </c>
      <c r="D11" s="8">
        <v>54</v>
      </c>
      <c r="E11" s="8">
        <v>63</v>
      </c>
      <c r="F11" s="8">
        <v>61</v>
      </c>
      <c r="G11" s="8">
        <v>55</v>
      </c>
      <c r="H11" s="8">
        <v>41</v>
      </c>
      <c r="I11" s="8">
        <v>41</v>
      </c>
      <c r="J11" s="9">
        <v>48</v>
      </c>
    </row>
    <row r="13" spans="1:13" ht="15" x14ac:dyDescent="0.3">
      <c r="A13" s="50" t="s">
        <v>1</v>
      </c>
      <c r="B13" s="50"/>
      <c r="C13" s="12" t="s">
        <v>2</v>
      </c>
      <c r="D13" s="11">
        <v>8</v>
      </c>
    </row>
    <row r="14" spans="1:13" ht="15" x14ac:dyDescent="0.3">
      <c r="A14" s="12" t="s">
        <v>3</v>
      </c>
      <c r="B14" s="11">
        <f>MIN(A2:J11)</f>
        <v>30</v>
      </c>
      <c r="C14" s="12" t="s">
        <v>4</v>
      </c>
      <c r="D14" s="11">
        <f>MAX(A2:J11)</f>
        <v>71</v>
      </c>
      <c r="E14" s="12" t="s">
        <v>5</v>
      </c>
      <c r="F14" s="11">
        <f>D14-B14</f>
        <v>41</v>
      </c>
    </row>
    <row r="15" spans="1:13" x14ac:dyDescent="0.3">
      <c r="A15" s="50" t="s">
        <v>6</v>
      </c>
      <c r="B15" s="50"/>
      <c r="C15">
        <f>F14/D13</f>
        <v>5.125</v>
      </c>
      <c r="D15" s="50" t="s">
        <v>7</v>
      </c>
      <c r="E15" s="50"/>
      <c r="F15" s="12" t="s">
        <v>8</v>
      </c>
      <c r="G15" s="13">
        <f>CEILING(C15,0.1)</f>
        <v>5.2</v>
      </c>
    </row>
    <row r="16" spans="1:13" ht="15" thickBot="1" x14ac:dyDescent="0.35">
      <c r="A16" s="50" t="s">
        <v>9</v>
      </c>
      <c r="B16" s="50"/>
      <c r="C16" s="50"/>
      <c r="D16" s="50"/>
      <c r="E16" s="50"/>
      <c r="F16" s="50"/>
      <c r="G16" s="50"/>
    </row>
    <row r="17" spans="1:13" x14ac:dyDescent="0.3">
      <c r="A17" s="27" t="s">
        <v>10</v>
      </c>
      <c r="B17" s="28" t="s">
        <v>21</v>
      </c>
      <c r="C17" s="19" t="s">
        <v>11</v>
      </c>
      <c r="D17" s="42"/>
      <c r="E17" s="19" t="s">
        <v>12</v>
      </c>
      <c r="F17" s="19" t="s">
        <v>13</v>
      </c>
      <c r="G17" s="20" t="s">
        <v>14</v>
      </c>
      <c r="I17" s="43" t="s">
        <v>15</v>
      </c>
      <c r="J17" s="43"/>
      <c r="K17" s="43"/>
      <c r="L17" s="12" t="s">
        <v>16</v>
      </c>
      <c r="M17" s="13">
        <f>SUMPRODUCT(C18:C25,E18:E25)/E26</f>
        <v>52.516000000000012</v>
      </c>
    </row>
    <row r="18" spans="1:13" x14ac:dyDescent="0.3">
      <c r="A18" s="21">
        <f>B14</f>
        <v>30</v>
      </c>
      <c r="B18" s="22">
        <f>A18+$G$15</f>
        <v>35.200000000000003</v>
      </c>
      <c r="C18" s="17">
        <f>(B18+A18)/2</f>
        <v>32.6</v>
      </c>
      <c r="D18" s="10"/>
      <c r="E18" s="22">
        <f>COUNTIFS($A$2:$J$11,"&gt;="&amp;A18,$A$2:$J$11,"&lt;"&amp;B18)</f>
        <v>3</v>
      </c>
      <c r="F18" s="17">
        <f t="shared" ref="F18:F25" si="0">E18/$E$26</f>
        <v>0.03</v>
      </c>
      <c r="G18" s="18">
        <f>F18/$G$15</f>
        <v>5.7692307692307687E-3</v>
      </c>
      <c r="I18" t="s">
        <v>17</v>
      </c>
    </row>
    <row r="19" spans="1:13" x14ac:dyDescent="0.3">
      <c r="A19" s="21">
        <f>B18</f>
        <v>35.200000000000003</v>
      </c>
      <c r="B19" s="22">
        <f t="shared" ref="B19:B25" si="1">A19+$G$15</f>
        <v>40.400000000000006</v>
      </c>
      <c r="C19" s="17">
        <f t="shared" ref="C19:C25" si="2">(B19+A19)/2</f>
        <v>37.800000000000004</v>
      </c>
      <c r="D19" s="39"/>
      <c r="E19" s="38">
        <f t="shared" ref="E19:E25" si="3">COUNTIFS($A$2:$J$11,"&gt;="&amp;A19,$A$2:$J$11,"&lt;"&amp;B19)</f>
        <v>3</v>
      </c>
      <c r="F19" s="17">
        <f t="shared" si="0"/>
        <v>0.03</v>
      </c>
      <c r="G19" s="18">
        <f t="shared" ref="G19:G25" si="4">F19/$G$15</f>
        <v>5.7692307692307687E-3</v>
      </c>
      <c r="I19" s="12" t="s">
        <v>18</v>
      </c>
      <c r="J19">
        <f>(SUMPRODUCT(C18:C25^2,E18:E25)/E26)-M17^2</f>
        <v>61.140143999999964</v>
      </c>
      <c r="K19" s="46" t="s">
        <v>31</v>
      </c>
      <c r="L19" s="46"/>
      <c r="M19" s="46"/>
    </row>
    <row r="20" spans="1:13" x14ac:dyDescent="0.3">
      <c r="A20" s="21">
        <f t="shared" ref="A20:A25" si="5">B19</f>
        <v>40.400000000000006</v>
      </c>
      <c r="B20" s="22">
        <f t="shared" si="1"/>
        <v>45.600000000000009</v>
      </c>
      <c r="C20" s="17">
        <f t="shared" si="2"/>
        <v>43.000000000000007</v>
      </c>
      <c r="D20" s="39"/>
      <c r="E20" s="38">
        <f t="shared" si="3"/>
        <v>13</v>
      </c>
      <c r="F20" s="17">
        <f t="shared" si="0"/>
        <v>0.13</v>
      </c>
      <c r="G20" s="18">
        <f t="shared" si="4"/>
        <v>2.5000000000000001E-2</v>
      </c>
      <c r="I20" s="12" t="s">
        <v>19</v>
      </c>
      <c r="J20">
        <f>E26/(E26-1)*J19</f>
        <v>61.757721212121183</v>
      </c>
    </row>
    <row r="21" spans="1:13" x14ac:dyDescent="0.3">
      <c r="A21" s="21">
        <f t="shared" si="5"/>
        <v>45.600000000000009</v>
      </c>
      <c r="B21" s="22">
        <f t="shared" si="1"/>
        <v>50.800000000000011</v>
      </c>
      <c r="C21" s="17">
        <f t="shared" si="2"/>
        <v>48.20000000000001</v>
      </c>
      <c r="D21" s="39"/>
      <c r="E21" s="38">
        <f t="shared" si="3"/>
        <v>17</v>
      </c>
      <c r="F21" s="17">
        <f t="shared" si="0"/>
        <v>0.17</v>
      </c>
      <c r="G21" s="18">
        <f t="shared" si="4"/>
        <v>3.2692307692307694E-2</v>
      </c>
      <c r="I21" s="12" t="s">
        <v>20</v>
      </c>
      <c r="J21">
        <f>SQRT(J20)</f>
        <v>7.8586080963565799</v>
      </c>
    </row>
    <row r="22" spans="1:13" x14ac:dyDescent="0.3">
      <c r="A22" s="21">
        <f t="shared" si="5"/>
        <v>50.800000000000011</v>
      </c>
      <c r="B22" s="22">
        <f t="shared" si="1"/>
        <v>56.000000000000014</v>
      </c>
      <c r="C22" s="17">
        <f t="shared" si="2"/>
        <v>53.400000000000013</v>
      </c>
      <c r="D22" s="39"/>
      <c r="E22" s="38">
        <f t="shared" si="3"/>
        <v>32</v>
      </c>
      <c r="F22" s="17">
        <f t="shared" si="0"/>
        <v>0.32</v>
      </c>
      <c r="G22" s="18">
        <f t="shared" si="4"/>
        <v>6.1538461538461535E-2</v>
      </c>
    </row>
    <row r="23" spans="1:13" x14ac:dyDescent="0.3">
      <c r="A23" s="21">
        <f t="shared" si="5"/>
        <v>56.000000000000014</v>
      </c>
      <c r="B23" s="22">
        <f t="shared" si="1"/>
        <v>61.200000000000017</v>
      </c>
      <c r="C23" s="17">
        <f t="shared" si="2"/>
        <v>58.600000000000016</v>
      </c>
      <c r="D23" s="39"/>
      <c r="E23" s="38">
        <f t="shared" si="3"/>
        <v>21</v>
      </c>
      <c r="F23" s="17">
        <f t="shared" si="0"/>
        <v>0.21</v>
      </c>
      <c r="G23" s="18">
        <f t="shared" si="4"/>
        <v>4.038461538461538E-2</v>
      </c>
    </row>
    <row r="24" spans="1:13" x14ac:dyDescent="0.3">
      <c r="A24" s="21">
        <f t="shared" si="5"/>
        <v>61.200000000000017</v>
      </c>
      <c r="B24" s="22">
        <f t="shared" si="1"/>
        <v>66.40000000000002</v>
      </c>
      <c r="C24" s="17">
        <f t="shared" si="2"/>
        <v>63.800000000000018</v>
      </c>
      <c r="D24" s="39"/>
      <c r="E24" s="38">
        <f t="shared" si="3"/>
        <v>7</v>
      </c>
      <c r="F24" s="17">
        <f t="shared" si="0"/>
        <v>7.0000000000000007E-2</v>
      </c>
      <c r="G24" s="18">
        <f t="shared" si="4"/>
        <v>1.3461538461538462E-2</v>
      </c>
    </row>
    <row r="25" spans="1:13" ht="15" thickBot="1" x14ac:dyDescent="0.35">
      <c r="A25" s="23">
        <f t="shared" si="5"/>
        <v>66.40000000000002</v>
      </c>
      <c r="B25" s="24">
        <f t="shared" si="1"/>
        <v>71.600000000000023</v>
      </c>
      <c r="C25" s="25">
        <f t="shared" si="2"/>
        <v>69.000000000000028</v>
      </c>
      <c r="D25" s="41"/>
      <c r="E25" s="22">
        <f t="shared" si="3"/>
        <v>4</v>
      </c>
      <c r="F25" s="25">
        <f t="shared" si="0"/>
        <v>0.04</v>
      </c>
      <c r="G25" s="26">
        <f t="shared" si="4"/>
        <v>7.6923076923076919E-3</v>
      </c>
    </row>
    <row r="26" spans="1:13" ht="15" thickBot="1" x14ac:dyDescent="0.35">
      <c r="E26" s="37">
        <f>SUM(E18:E25)</f>
        <v>100</v>
      </c>
      <c r="G26" s="40"/>
    </row>
    <row r="28" spans="1:13" ht="15" thickBot="1" x14ac:dyDescent="0.35"/>
    <row r="29" spans="1:13" x14ac:dyDescent="0.3">
      <c r="A29" s="27" t="s">
        <v>10</v>
      </c>
      <c r="B29" s="28" t="s">
        <v>21</v>
      </c>
      <c r="C29" s="19" t="s">
        <v>12</v>
      </c>
      <c r="D29" s="19" t="s">
        <v>22</v>
      </c>
      <c r="E29" s="19" t="s">
        <v>23</v>
      </c>
      <c r="F29" s="19" t="s">
        <v>24</v>
      </c>
      <c r="G29" s="19" t="s">
        <v>25</v>
      </c>
      <c r="H29" s="19" t="s">
        <v>26</v>
      </c>
      <c r="I29" s="20" t="s">
        <v>27</v>
      </c>
    </row>
    <row r="30" spans="1:13" x14ac:dyDescent="0.3">
      <c r="A30" s="16">
        <f>-(10^307)</f>
        <v>-9.9999999999999999E+306</v>
      </c>
      <c r="B30" s="17">
        <f>B18</f>
        <v>35.200000000000003</v>
      </c>
      <c r="C30" s="17">
        <f t="shared" ref="C30:C37" si="6">E18</f>
        <v>3</v>
      </c>
      <c r="D30" s="17">
        <f>MROUND(_xlfn.NORM.S.DIST((B30-$M$17)/$J$21,TRUE) - _xlfn.NORM.S.DIST((A30-$M$17)/$J$21,TRUE), 0.0001)</f>
        <v>1.3800000000000002E-2</v>
      </c>
      <c r="E30" s="17">
        <f>$E$26*D30</f>
        <v>1.3800000000000001</v>
      </c>
      <c r="F30" s="17">
        <f>C30-E30</f>
        <v>1.6199999999999999</v>
      </c>
      <c r="G30" s="17">
        <f>F30^2</f>
        <v>2.6243999999999996</v>
      </c>
      <c r="H30" s="17">
        <f>G30/E30</f>
        <v>1.9017391304347822</v>
      </c>
      <c r="I30" s="18">
        <f>C30^2/E30</f>
        <v>6.5217391304347823</v>
      </c>
    </row>
    <row r="31" spans="1:13" x14ac:dyDescent="0.3">
      <c r="A31" s="16">
        <f>A19</f>
        <v>35.200000000000003</v>
      </c>
      <c r="B31" s="17">
        <f>B19</f>
        <v>40.400000000000006</v>
      </c>
      <c r="C31" s="17">
        <f t="shared" si="6"/>
        <v>3</v>
      </c>
      <c r="D31" s="17">
        <f t="shared" ref="D31:D37" si="7">MROUND(_xlfn.NORM.S.DIST((B31-$M$17)/$J$21,TRUE) - _xlfn.NORM.S.DIST((A31-$M$17)/$J$21,TRUE), 0.0001)</f>
        <v>4.7800000000000002E-2</v>
      </c>
      <c r="E31" s="17">
        <f t="shared" ref="E31:E37" si="8">$E$26*D31</f>
        <v>4.78</v>
      </c>
      <c r="F31" s="17">
        <f t="shared" ref="F31:F37" si="9">C31-E31</f>
        <v>-1.7800000000000002</v>
      </c>
      <c r="G31" s="17">
        <f t="shared" ref="G31:G37" si="10">F31^2</f>
        <v>3.168400000000001</v>
      </c>
      <c r="H31" s="17">
        <f t="shared" ref="H31:H37" si="11">G31/E31</f>
        <v>0.66284518828451899</v>
      </c>
      <c r="I31" s="18">
        <f t="shared" ref="I31:I37" si="12">C31^2/E31</f>
        <v>1.8828451882845187</v>
      </c>
    </row>
    <row r="32" spans="1:13" x14ac:dyDescent="0.3">
      <c r="A32" s="16">
        <f>A20</f>
        <v>40.400000000000006</v>
      </c>
      <c r="B32" s="17">
        <f>B20</f>
        <v>45.600000000000009</v>
      </c>
      <c r="C32" s="17">
        <f t="shared" si="6"/>
        <v>13</v>
      </c>
      <c r="D32" s="17">
        <f t="shared" si="7"/>
        <v>0.1278</v>
      </c>
      <c r="E32" s="17">
        <f t="shared" si="8"/>
        <v>12.78</v>
      </c>
      <c r="F32" s="17">
        <f t="shared" si="9"/>
        <v>0.22000000000000064</v>
      </c>
      <c r="G32" s="17">
        <f t="shared" si="10"/>
        <v>4.8400000000000283E-2</v>
      </c>
      <c r="H32" s="17">
        <f t="shared" si="11"/>
        <v>3.7871674491393023E-3</v>
      </c>
      <c r="I32" s="18">
        <f t="shared" si="12"/>
        <v>13.223787167449141</v>
      </c>
    </row>
    <row r="33" spans="1:9" x14ac:dyDescent="0.3">
      <c r="A33" s="16">
        <f t="shared" ref="A33:B33" si="13">A21</f>
        <v>45.600000000000009</v>
      </c>
      <c r="B33" s="17">
        <f t="shared" si="13"/>
        <v>50.800000000000011</v>
      </c>
      <c r="C33" s="17">
        <f t="shared" si="6"/>
        <v>17</v>
      </c>
      <c r="D33" s="17">
        <f t="shared" si="7"/>
        <v>0.22420000000000001</v>
      </c>
      <c r="E33" s="17">
        <f t="shared" si="8"/>
        <v>22.42</v>
      </c>
      <c r="F33" s="17">
        <f t="shared" si="9"/>
        <v>-5.4200000000000017</v>
      </c>
      <c r="G33" s="17">
        <f t="shared" si="10"/>
        <v>29.376400000000018</v>
      </c>
      <c r="H33" s="17">
        <f t="shared" si="11"/>
        <v>1.3102765388046393</v>
      </c>
      <c r="I33" s="18">
        <f t="shared" si="12"/>
        <v>12.890276538804638</v>
      </c>
    </row>
    <row r="34" spans="1:9" x14ac:dyDescent="0.3">
      <c r="A34" s="16">
        <f t="shared" ref="A34:B34" si="14">A22</f>
        <v>50.800000000000011</v>
      </c>
      <c r="B34" s="17">
        <f t="shared" si="14"/>
        <v>56.000000000000014</v>
      </c>
      <c r="C34" s="17">
        <f t="shared" si="6"/>
        <v>32</v>
      </c>
      <c r="D34" s="17">
        <f t="shared" si="7"/>
        <v>0.25769999999999998</v>
      </c>
      <c r="E34" s="17">
        <f t="shared" si="8"/>
        <v>25.77</v>
      </c>
      <c r="F34" s="17">
        <f t="shared" si="9"/>
        <v>6.23</v>
      </c>
      <c r="G34" s="17">
        <f t="shared" si="10"/>
        <v>38.812900000000006</v>
      </c>
      <c r="H34" s="17">
        <f t="shared" si="11"/>
        <v>1.5061272797826932</v>
      </c>
      <c r="I34" s="18">
        <f t="shared" si="12"/>
        <v>39.736127279782693</v>
      </c>
    </row>
    <row r="35" spans="1:9" x14ac:dyDescent="0.3">
      <c r="A35" s="16">
        <f t="shared" ref="A35:B35" si="15">A23</f>
        <v>56.000000000000014</v>
      </c>
      <c r="B35" s="17">
        <f t="shared" si="15"/>
        <v>61.200000000000017</v>
      </c>
      <c r="C35" s="17">
        <f t="shared" si="6"/>
        <v>21</v>
      </c>
      <c r="D35" s="17">
        <f t="shared" si="7"/>
        <v>0.19420000000000001</v>
      </c>
      <c r="E35" s="17">
        <f t="shared" si="8"/>
        <v>19.420000000000002</v>
      </c>
      <c r="F35" s="17">
        <f t="shared" si="9"/>
        <v>1.5799999999999983</v>
      </c>
      <c r="G35" s="17">
        <f t="shared" si="10"/>
        <v>2.4963999999999946</v>
      </c>
      <c r="H35" s="17">
        <f t="shared" si="11"/>
        <v>0.12854788877445902</v>
      </c>
      <c r="I35" s="18">
        <f t="shared" si="12"/>
        <v>22.708547888774458</v>
      </c>
    </row>
    <row r="36" spans="1:9" x14ac:dyDescent="0.3">
      <c r="A36" s="16">
        <f t="shared" ref="A36:B36" si="16">A24</f>
        <v>61.200000000000017</v>
      </c>
      <c r="B36" s="17">
        <f t="shared" si="16"/>
        <v>66.40000000000002</v>
      </c>
      <c r="C36" s="17">
        <f t="shared" si="6"/>
        <v>7</v>
      </c>
      <c r="D36" s="17">
        <f t="shared" si="7"/>
        <v>9.5899999999999999E-2</v>
      </c>
      <c r="E36" s="17">
        <f t="shared" si="8"/>
        <v>9.59</v>
      </c>
      <c r="F36" s="17">
        <f t="shared" si="9"/>
        <v>-2.59</v>
      </c>
      <c r="G36" s="17">
        <f t="shared" si="10"/>
        <v>6.7080999999999991</v>
      </c>
      <c r="H36" s="17">
        <f t="shared" si="11"/>
        <v>0.69948905109489046</v>
      </c>
      <c r="I36" s="18">
        <f t="shared" si="12"/>
        <v>5.1094890510948909</v>
      </c>
    </row>
    <row r="37" spans="1:9" x14ac:dyDescent="0.3">
      <c r="A37" s="16">
        <f>A25</f>
        <v>66.40000000000002</v>
      </c>
      <c r="B37" s="17">
        <f>10^307</f>
        <v>9.9999999999999999E+306</v>
      </c>
      <c r="C37" s="17">
        <f t="shared" si="6"/>
        <v>4</v>
      </c>
      <c r="D37" s="17">
        <f t="shared" si="7"/>
        <v>3.8600000000000002E-2</v>
      </c>
      <c r="E37" s="17">
        <f t="shared" si="8"/>
        <v>3.8600000000000003</v>
      </c>
      <c r="F37" s="17">
        <f t="shared" si="9"/>
        <v>0.13999999999999968</v>
      </c>
      <c r="G37" s="17">
        <f t="shared" si="10"/>
        <v>1.9599999999999909E-2</v>
      </c>
      <c r="H37" s="17">
        <f t="shared" si="11"/>
        <v>5.0777202072538625E-3</v>
      </c>
      <c r="I37" s="18">
        <f t="shared" si="12"/>
        <v>4.1450777202072535</v>
      </c>
    </row>
    <row r="38" spans="1:9" ht="15" thickBot="1" x14ac:dyDescent="0.35">
      <c r="A38" s="44" t="s">
        <v>32</v>
      </c>
      <c r="B38" s="45"/>
      <c r="C38" s="25">
        <f>SUM(C30:C37)</f>
        <v>100</v>
      </c>
      <c r="D38" s="29">
        <f>SUM(D30:D37)</f>
        <v>1</v>
      </c>
      <c r="E38" s="17">
        <f>SUM(E30:E37)</f>
        <v>100</v>
      </c>
      <c r="F38" s="31"/>
      <c r="G38" s="34" t="s">
        <v>28</v>
      </c>
      <c r="H38" s="32">
        <f>MROUND(SUM(H30:H37), 0.01)</f>
        <v>6.22</v>
      </c>
      <c r="I38" s="30">
        <f>MROUND(SUM(I30:I37), 0.01)</f>
        <v>106.22</v>
      </c>
    </row>
    <row r="39" spans="1:9" ht="15" thickBot="1" x14ac:dyDescent="0.35">
      <c r="E39" s="15" t="s">
        <v>30</v>
      </c>
      <c r="F39" s="33">
        <v>5</v>
      </c>
      <c r="G39" s="35" t="s">
        <v>29</v>
      </c>
      <c r="H39" s="36">
        <f>MROUND(_xlfn.CHISQ.INV.RT(0.05, F39), 0.01)</f>
        <v>11.07</v>
      </c>
    </row>
  </sheetData>
  <mergeCells count="8">
    <mergeCell ref="I17:K17"/>
    <mergeCell ref="A38:B38"/>
    <mergeCell ref="K19:M19"/>
    <mergeCell ref="A1:J1"/>
    <mergeCell ref="A13:B13"/>
    <mergeCell ref="A15:B15"/>
    <mergeCell ref="D15:E15"/>
    <mergeCell ref="A16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Бабашинский</dc:creator>
  <cp:lastModifiedBy>Глеб Бабашинский</cp:lastModifiedBy>
  <dcterms:created xsi:type="dcterms:W3CDTF">2024-11-19T19:26:45Z</dcterms:created>
  <dcterms:modified xsi:type="dcterms:W3CDTF">2024-11-20T12:02:03Z</dcterms:modified>
</cp:coreProperties>
</file>