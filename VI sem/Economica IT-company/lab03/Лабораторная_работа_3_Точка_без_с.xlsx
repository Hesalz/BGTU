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GTU\VI sem\Economica IT-company\lab03\"/>
    </mc:Choice>
  </mc:AlternateContent>
  <xr:revisionPtr revIDLastSave="0" documentId="13_ncr:1_{C7DE95C0-D983-410E-8626-494087EA7BE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Исх данные решение" sheetId="2" r:id="rId1"/>
    <sheet name="Порядок работы" sheetId="5" r:id="rId2"/>
    <sheet name="График (пример)" sheetId="3" r:id="rId3"/>
  </sheets>
  <calcPr calcId="181029"/>
</workbook>
</file>

<file path=xl/calcChain.xml><?xml version="1.0" encoding="utf-8"?>
<calcChain xmlns="http://schemas.openxmlformats.org/spreadsheetml/2006/main">
  <c r="D23" i="2" l="1"/>
  <c r="D22" i="2"/>
  <c r="C81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E49" i="2"/>
  <c r="E45" i="2"/>
  <c r="D25" i="2"/>
  <c r="D26" i="2"/>
  <c r="D30" i="2"/>
  <c r="D24" i="2"/>
  <c r="D27" i="2" l="1"/>
  <c r="D36" i="2" s="1"/>
  <c r="D31" i="2"/>
  <c r="E46" i="2" s="1"/>
  <c r="D38" i="2"/>
  <c r="D35" i="2"/>
  <c r="D28" i="2"/>
  <c r="D29" i="2" s="1"/>
  <c r="D34" i="2"/>
  <c r="D37" i="2"/>
  <c r="E68" i="2" l="1"/>
  <c r="F68" i="2" s="1"/>
  <c r="E80" i="2"/>
  <c r="F80" i="2" s="1"/>
  <c r="E81" i="2"/>
  <c r="F81" i="2" s="1"/>
  <c r="E70" i="2"/>
  <c r="F70" i="2" s="1"/>
  <c r="E67" i="2"/>
  <c r="F67" i="2" s="1"/>
  <c r="E71" i="2"/>
  <c r="F71" i="2" s="1"/>
  <c r="E72" i="2"/>
  <c r="F72" i="2" s="1"/>
  <c r="E73" i="2"/>
  <c r="F73" i="2" s="1"/>
  <c r="E74" i="2"/>
  <c r="F74" i="2" s="1"/>
  <c r="E75" i="2"/>
  <c r="F75" i="2" s="1"/>
  <c r="E76" i="2"/>
  <c r="F76" i="2" s="1"/>
  <c r="E77" i="2"/>
  <c r="F77" i="2" s="1"/>
  <c r="E78" i="2"/>
  <c r="F78" i="2" s="1"/>
  <c r="E79" i="2"/>
  <c r="F79" i="2" s="1"/>
  <c r="D39" i="2"/>
  <c r="E48" i="2"/>
  <c r="D32" i="2"/>
  <c r="E47" i="2" s="1"/>
  <c r="C69" i="2" s="1"/>
  <c r="E69" i="2" s="1"/>
  <c r="F69" i="2" s="1"/>
  <c r="G74" i="2" l="1"/>
  <c r="H74" i="2" s="1"/>
  <c r="G75" i="2"/>
  <c r="H75" i="2" s="1"/>
  <c r="G76" i="2"/>
  <c r="H76" i="2" s="1"/>
  <c r="G77" i="2"/>
  <c r="H77" i="2" s="1"/>
  <c r="G78" i="2"/>
  <c r="H78" i="2" s="1"/>
  <c r="G79" i="2"/>
  <c r="H79" i="2" s="1"/>
  <c r="G68" i="2"/>
  <c r="H68" i="2" s="1"/>
  <c r="G80" i="2"/>
  <c r="H80" i="2" s="1"/>
  <c r="G69" i="2"/>
  <c r="H69" i="2" s="1"/>
  <c r="G81" i="2"/>
  <c r="H81" i="2" s="1"/>
  <c r="G70" i="2"/>
  <c r="H70" i="2" s="1"/>
  <c r="G67" i="2"/>
  <c r="H67" i="2" s="1"/>
  <c r="G71" i="2"/>
  <c r="H71" i="2" s="1"/>
  <c r="G72" i="2"/>
  <c r="H72" i="2" s="1"/>
  <c r="G73" i="2"/>
  <c r="H73" i="2" s="1"/>
</calcChain>
</file>

<file path=xl/sharedStrings.xml><?xml version="1.0" encoding="utf-8"?>
<sst xmlns="http://schemas.openxmlformats.org/spreadsheetml/2006/main" count="77" uniqueCount="77">
  <si>
    <t>Показатели</t>
  </si>
  <si>
    <t>Варианты</t>
  </si>
  <si>
    <t>4. Цена 1 КВт*ч, руб.</t>
  </si>
  <si>
    <t>6. Заработная плата административного персонала предприятия, тыс. руб.</t>
  </si>
  <si>
    <t>ИТОГО, руб.</t>
  </si>
  <si>
    <t>Методические указания</t>
  </si>
  <si>
    <t>– рассчитывается отпускная цена Ц, тыс. руб., изделия по формуле</t>
  </si>
  <si>
    <t xml:space="preserve">                                        </t>
  </si>
  <si>
    <r>
      <t>– определя</t>
    </r>
    <r>
      <rPr>
        <sz val="12"/>
        <rFont val="Calibri"/>
        <family val="2"/>
        <charset val="204"/>
      </rPr>
      <t>ется размер прибыли, приходящейся на единицу продукции П</t>
    </r>
    <r>
      <rPr>
        <vertAlign val="subscript"/>
        <sz val="12"/>
        <rFont val="Calibri"/>
        <family val="2"/>
        <charset val="204"/>
      </rPr>
      <t>р</t>
    </r>
    <r>
      <rPr>
        <sz val="12"/>
        <rFont val="Calibri"/>
        <family val="2"/>
        <charset val="204"/>
      </rPr>
      <t>, тыс. руб., по формуле</t>
    </r>
  </si>
  <si>
    <t>ЭЛЕМЕНТЫ ЗАТРАТ</t>
  </si>
  <si>
    <t>3. Отчисления в ФСЗН</t>
  </si>
  <si>
    <t>1. Материальные затраты</t>
  </si>
  <si>
    <t>2. Фонд оплаты труда работников</t>
  </si>
  <si>
    <t>4. Амортизационные отчисления</t>
  </si>
  <si>
    <t>5. Прочие</t>
  </si>
  <si>
    <t>ИТОГО</t>
  </si>
  <si>
    <t>1. Годовой выпуск продукции, шт</t>
  </si>
  <si>
    <t>2. Затраты сырья, материалов на 1 шт, руб.</t>
  </si>
  <si>
    <t>3. Затраты энергии на технологические нужды на 1 шт, КВт*ч</t>
  </si>
  <si>
    <t>5. Основная и дополнительная заработная плата производственных рабочих на 1 шт, руб.</t>
  </si>
  <si>
    <t>Себестоимость 1 шт, руб.</t>
  </si>
  <si>
    <t>Цена 1 шт (без НДС), руб.</t>
  </si>
  <si>
    <t>Условно-переменные на 1ш т, руб. (Собщ-УПР)/В</t>
  </si>
  <si>
    <t>Точка окупаемости, шт</t>
  </si>
  <si>
    <t>СТРУКТУРА ЗАТРАТ, %</t>
  </si>
  <si>
    <r>
      <rPr>
        <b/>
        <i/>
        <sz val="12"/>
        <rFont val="Calibri"/>
        <family val="2"/>
        <charset val="204"/>
      </rPr>
      <t>Материальные затраты</t>
    </r>
    <r>
      <rPr>
        <sz val="12"/>
        <rFont val="Calibri"/>
        <family val="2"/>
        <charset val="204"/>
      </rPr>
      <t xml:space="preserve"> включают стоимость сырья, материалов, энергии, платы за пользование природными ресурсами</t>
    </r>
  </si>
  <si>
    <t>9. Средняя норма амортизации, %</t>
  </si>
  <si>
    <t>10. Расходы по содержанию и эксплуатации  оборудования в год, тыс. руб.</t>
  </si>
  <si>
    <t>11. Плата процентов по краткосрочным кредитам банка, тыс. руб.</t>
  </si>
  <si>
    <t>12. Оплата услуг информационных и аудиторских компаний, тыс. руб.</t>
  </si>
  <si>
    <t>13. Оплата рекламных услуг, тыс. руб.</t>
  </si>
  <si>
    <t>14. Расходы на упаковку и транспортировку продукции, тыс. руб.</t>
  </si>
  <si>
    <t>15. Плата за пользование природными ресурсами, тыс. руб.</t>
  </si>
  <si>
    <t>16. Расходы на освещение и отопление цеха, тыс. руб.</t>
  </si>
  <si>
    <t>17. Рентабельность продукции, %</t>
  </si>
  <si>
    <t>1. МЗ, руб. (п2*п1+п3*п4*п1+п15)</t>
  </si>
  <si>
    <t>2. ФОТ, руб. ((п5*п1)+п6))</t>
  </si>
  <si>
    <t>3. Отчисления в ФСЗН, руб. (34% от ФОТ)</t>
  </si>
  <si>
    <t>4. Амортизационные отчисления, руб. (п7+п8)*п9/100</t>
  </si>
  <si>
    <t>5. Прочие, руб. (п10+п11+п12+п13+п14+п16)</t>
  </si>
  <si>
    <t>Условно-постоянные (УПР), тыс. руб. (п. 6*1,34+п.7*п.9/100+п.11+п.12+п.13+п.16)</t>
  </si>
  <si>
    <r>
      <rPr>
        <b/>
        <i/>
        <sz val="12"/>
        <rFont val="Calibri"/>
        <family val="2"/>
        <charset val="204"/>
      </rPr>
      <t>Фонд оплаты труда</t>
    </r>
    <r>
      <rPr>
        <sz val="12"/>
        <rFont val="Calibri"/>
        <family val="2"/>
        <charset val="204"/>
      </rPr>
      <t xml:space="preserve"> - основную и дополнительную заработную плату производственных рабочих и административного персонала</t>
    </r>
  </si>
  <si>
    <r>
      <t xml:space="preserve">1. Смета затрат на производство продукции (на весь объем) формируется в соответствии с </t>
    </r>
    <r>
      <rPr>
        <sz val="12"/>
        <rFont val="Calibri"/>
        <family val="2"/>
        <charset val="204"/>
      </rPr>
      <t>Основными положениями по составу затрат, включаемых в себестоимость продукции на основании исходных данных.</t>
    </r>
  </si>
  <si>
    <r>
      <rPr>
        <b/>
        <i/>
        <sz val="12"/>
        <rFont val="Calibri"/>
        <family val="2"/>
        <charset val="204"/>
      </rPr>
      <t>Отчисления в ФСЗН</t>
    </r>
    <r>
      <rPr>
        <sz val="12"/>
        <rFont val="Calibri"/>
        <family val="2"/>
        <charset val="204"/>
      </rPr>
      <t xml:space="preserve"> - 34% от фонда отплаты труда</t>
    </r>
  </si>
  <si>
    <t>7. ОС общезаводского назначения, тыс. руб.</t>
  </si>
  <si>
    <t>8. ОС цехового назначения (оборудования), тыс. руб.</t>
  </si>
  <si>
    <r>
      <rPr>
        <b/>
        <i/>
        <sz val="12"/>
        <rFont val="Calibri"/>
        <family val="2"/>
        <charset val="204"/>
      </rPr>
      <t>Амортизационные отчисления</t>
    </r>
    <r>
      <rPr>
        <sz val="12"/>
        <rFont val="Calibri"/>
        <family val="2"/>
        <charset val="204"/>
      </rPr>
      <t xml:space="preserve"> рассчитываются исходя из средней нормы амортизации по данной организации и стоимости основных средств общезаводского и цехового назначения</t>
    </r>
  </si>
  <si>
    <r>
      <rPr>
        <b/>
        <i/>
        <sz val="12"/>
        <rFont val="Calibri"/>
        <family val="2"/>
        <charset val="204"/>
      </rPr>
      <t>Прочие</t>
    </r>
    <r>
      <rPr>
        <sz val="12"/>
        <rFont val="Calibri"/>
        <family val="2"/>
        <charset val="204"/>
      </rPr>
      <t>затраты включают расходы по содержанию и эксплуатации машин и оборудования, выплаты процентов по кредитам финансовых учреждений, оплату услуг информационных, страховых и других организаций, оплату рекламных, дизайнерских услуг, расходы на транспортировку продукции (коммерческие расходы), расходы на энергию на хозяйственные нужды и пр.</t>
    </r>
  </si>
  <si>
    <t>2. Рассчитывается себестоимость единицы изделия С, руб., как отношение общей суммы затрат произведенной продукции к годовому выпуску продукции в натуральном выражении.</t>
  </si>
  <si>
    <t>3. Находится отпускная цена единицы нового изделия в следующей последовательности:</t>
  </si>
  <si>
    <r>
      <t xml:space="preserve">где С – полная себестоимость единицы изделия, руб.; </t>
    </r>
    <r>
      <rPr>
        <i/>
        <sz val="12"/>
        <rFont val="Calibri"/>
        <family val="2"/>
        <charset val="204"/>
      </rPr>
      <t>R</t>
    </r>
    <r>
      <rPr>
        <sz val="12"/>
        <rFont val="Calibri"/>
        <family val="2"/>
        <charset val="204"/>
      </rPr>
      <t xml:space="preserve"> – планируемый процент рентабельности;</t>
    </r>
  </si>
  <si>
    <t>4. Группируются элементы затрат:</t>
  </si>
  <si>
    <t>– условно-переменные (материальные затраты, расходы на содержание машин и оборудования, заработная плата производственных рабочих с отчислениями в ФСЗН, расходы на упаковку и транспортирование продукции и др.).</t>
  </si>
  <si>
    <t xml:space="preserve">                                    </t>
  </si>
  <si>
    <r>
      <t>где З</t>
    </r>
    <r>
      <rPr>
        <vertAlign val="subscript"/>
        <sz val="12"/>
        <color indexed="8"/>
        <rFont val="Calibri"/>
        <family val="2"/>
        <charset val="204"/>
      </rPr>
      <t>пост</t>
    </r>
    <r>
      <rPr>
        <sz val="12"/>
        <color indexed="8"/>
        <rFont val="Calibri"/>
        <family val="2"/>
        <charset val="204"/>
      </rPr>
      <t xml:space="preserve"> – условно-постоянные затраты на весь выпуск продукции, руб.; </t>
    </r>
  </si>
  <si>
    <r>
      <t xml:space="preserve">      З</t>
    </r>
    <r>
      <rPr>
        <vertAlign val="subscript"/>
        <sz val="12"/>
        <color indexed="8"/>
        <rFont val="Calibri"/>
        <family val="2"/>
        <charset val="204"/>
      </rPr>
      <t>пер</t>
    </r>
    <r>
      <rPr>
        <sz val="12"/>
        <color indexed="8"/>
        <rFont val="Calibri"/>
        <family val="2"/>
        <charset val="204"/>
      </rPr>
      <t xml:space="preserve"> – условно-переменные затраты на единицу продукции, руб.</t>
    </r>
  </si>
  <si>
    <r>
      <t>– на условно-постоянные (</t>
    </r>
    <r>
      <rPr>
        <i/>
        <sz val="12"/>
        <color indexed="8"/>
        <rFont val="Calibri"/>
        <family val="2"/>
        <charset val="204"/>
      </rPr>
      <t>не зависят непосредственно от количества изготовляемой продукции</t>
    </r>
    <r>
      <rPr>
        <sz val="12"/>
        <color indexed="8"/>
        <rFont val="Calibri"/>
        <family val="2"/>
        <charset val="204"/>
      </rPr>
      <t>) (заработная плата управленческого персонала с отчислениями в ФСЗН, амортизационных отчислений ОС общезаводского назначения, плата процентов по ссудам, расходы информационных компаний, маркетинговые исследования, оплата рекламных услуг, расходы на подготовку и освоение производства, энергия на хозяйственные нужды и др.);</t>
    </r>
  </si>
  <si>
    <r>
      <rPr>
        <b/>
        <i/>
        <sz val="12"/>
        <color indexed="63"/>
        <rFont val="Calibri"/>
        <family val="2"/>
        <charset val="204"/>
      </rPr>
      <t>Точка безубыточности</t>
    </r>
    <r>
      <rPr>
        <sz val="12"/>
        <color indexed="63"/>
        <rFont val="Calibri"/>
        <family val="2"/>
        <charset val="204"/>
      </rPr>
      <t xml:space="preserve"> - объём производства и реализации продукции, при котором расходы будут компенсированы доходами, а при производстве и реализации каждой последующей единицы продукции предприятие начинает получать прибыль</t>
    </r>
  </si>
  <si>
    <r>
      <t>5. Определяется точка безубыточности В</t>
    </r>
    <r>
      <rPr>
        <vertAlign val="subscript"/>
        <sz val="12"/>
        <color indexed="8"/>
        <rFont val="Calibri"/>
        <family val="2"/>
        <charset val="204"/>
      </rPr>
      <t>без</t>
    </r>
    <r>
      <rPr>
        <sz val="12"/>
        <color indexed="8"/>
        <rFont val="Calibri"/>
        <family val="2"/>
        <charset val="204"/>
      </rPr>
      <t xml:space="preserve"> производства изделий по формуле</t>
    </r>
  </si>
  <si>
    <t>7. Рассчитывается запас финансовой прочности (при построении графика точки безубыточности, см лист "График")</t>
  </si>
  <si>
    <t>6. Строится круговая диаграмма структуры затрат по элементам, график точки безубыточности (см лист "График")</t>
  </si>
  <si>
    <r>
      <t>Насколько далеко предприятие от точки безубыточности показывает </t>
    </r>
    <r>
      <rPr>
        <i/>
        <sz val="12"/>
        <color indexed="63"/>
        <rFont val="Calibri"/>
        <family val="2"/>
        <charset val="204"/>
      </rPr>
      <t>запас финансовой прочности (кромка безопасности)</t>
    </r>
    <r>
      <rPr>
        <sz val="12"/>
        <color indexed="63"/>
        <rFont val="Calibri"/>
        <family val="2"/>
        <charset val="204"/>
      </rPr>
      <t>. Это разность между фактическим объемом выпуска и объемом выпуска в точке безубыточности. Рассчитывается процентное отношение запаса финансовой прочности к фактическому объему.</t>
    </r>
  </si>
  <si>
    <t>Запасом финансовой прочности считается запас прочности выше 30%</t>
  </si>
  <si>
    <r>
      <t xml:space="preserve">Задание. </t>
    </r>
    <r>
      <rPr>
        <sz val="14"/>
        <color indexed="60"/>
        <rFont val="Calibri"/>
        <family val="2"/>
        <charset val="204"/>
      </rPr>
      <t>Предприниматель с образованием юридического лица начал производство новой продукции. На основании данных таблицы разработать смету затрат на производство продукции по элементам и определить структуру затрат. Сформировать отпускную цену продукции с учетом планируемого уровня рентабельности. Рассчитать точку безубыточности производства изделия, предварительно определив условно-переменные и условно-постоянные затраты. Построить график безубыточности. Рассчитать кромку безопасности</t>
    </r>
  </si>
  <si>
    <t>Кромка безопасности, тыс. руб.</t>
  </si>
  <si>
    <t>Кромка безопасности, %</t>
  </si>
  <si>
    <t>З пост, тыс.руб.</t>
  </si>
  <si>
    <t>В без, шт</t>
  </si>
  <si>
    <t>З пер, руб/шт</t>
  </si>
  <si>
    <t>Ц, руб/шт</t>
  </si>
  <si>
    <t>Выпуск ф, шт</t>
  </si>
  <si>
    <t>Объем производства, шт</t>
  </si>
  <si>
    <t>Зпост, тыс руб</t>
  </si>
  <si>
    <t>Зпер, тыс руб</t>
  </si>
  <si>
    <t>Зитого</t>
  </si>
  <si>
    <t>Выручка общ, тыс руб</t>
  </si>
  <si>
    <t>Прибыль, тыс руб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</si>
</sst>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0" x14ac:knownFonts="1">
    <font>
      <sz val="10"/>
      <name val="Arial Cyr"/>
      <charset val="204"/>
    </font>
    <font>
      <sz val="8"/>
      <name val="Arial Cyr"/>
      <charset val="204"/>
    </font>
    <font>
      <b/>
      <sz val="12"/>
      <name val="Arial Cyr"/>
      <charset val="204"/>
    </font>
    <font>
      <sz val="12"/>
      <color indexed="8"/>
      <name val="Calibri"/>
      <family val="2"/>
      <charset val="204"/>
    </font>
    <font>
      <sz val="12"/>
      <name val="Calibri"/>
      <family val="2"/>
      <charset val="204"/>
    </font>
    <font>
      <vertAlign val="subscript"/>
      <sz val="12"/>
      <name val="Calibri"/>
      <family val="2"/>
      <charset val="204"/>
    </font>
    <font>
      <i/>
      <sz val="12"/>
      <name val="Calibri"/>
      <family val="2"/>
      <charset val="204"/>
    </font>
    <font>
      <vertAlign val="subscript"/>
      <sz val="12"/>
      <color indexed="8"/>
      <name val="Calibri"/>
      <family val="2"/>
      <charset val="204"/>
    </font>
    <font>
      <b/>
      <i/>
      <sz val="12"/>
      <name val="Calibri"/>
      <family val="2"/>
      <charset val="204"/>
    </font>
    <font>
      <i/>
      <sz val="12"/>
      <color indexed="8"/>
      <name val="Calibri"/>
      <family val="2"/>
      <charset val="204"/>
    </font>
    <font>
      <sz val="12"/>
      <color indexed="63"/>
      <name val="Calibri"/>
      <family val="2"/>
      <charset val="204"/>
    </font>
    <font>
      <b/>
      <i/>
      <sz val="12"/>
      <color indexed="63"/>
      <name val="Calibri"/>
      <family val="2"/>
      <charset val="204"/>
    </font>
    <font>
      <i/>
      <sz val="12"/>
      <color indexed="63"/>
      <name val="Calibri"/>
      <family val="2"/>
      <charset val="204"/>
    </font>
    <font>
      <sz val="14"/>
      <color indexed="60"/>
      <name val="Calibri"/>
      <family val="2"/>
      <charset val="204"/>
    </font>
    <font>
      <b/>
      <i/>
      <sz val="14"/>
      <color rgb="FFC00000"/>
      <name val="Calibri"/>
      <family val="2"/>
      <charset val="204"/>
      <scheme val="minor"/>
    </font>
    <font>
      <sz val="12"/>
      <color rgb="FF000000"/>
      <name val="Calibri"/>
      <family val="2"/>
      <charset val="204"/>
      <scheme val="minor"/>
    </font>
    <font>
      <sz val="12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sz val="12"/>
      <color indexed="8"/>
      <name val="Calibri"/>
      <family val="2"/>
      <charset val="204"/>
      <scheme val="minor"/>
    </font>
    <font>
      <sz val="9"/>
      <name val="Calibri"/>
      <family val="2"/>
      <charset val="204"/>
      <scheme val="minor"/>
    </font>
    <font>
      <sz val="10"/>
      <name val="Calibri"/>
      <family val="2"/>
      <charset val="204"/>
      <scheme val="minor"/>
    </font>
    <font>
      <b/>
      <sz val="10"/>
      <name val="Calibri"/>
      <family val="2"/>
      <charset val="204"/>
      <scheme val="minor"/>
    </font>
    <font>
      <sz val="12"/>
      <color rgb="FF333333"/>
      <name val="Calibri"/>
      <family val="2"/>
      <charset val="204"/>
      <scheme val="minor"/>
    </font>
    <font>
      <sz val="12"/>
      <color rgb="FF11111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4"/>
      <color rgb="FFC00000"/>
      <name val="Calibri"/>
      <family val="2"/>
      <charset val="204"/>
      <scheme val="minor"/>
    </font>
    <font>
      <b/>
      <sz val="10"/>
      <name val="Arial Cyr"/>
      <charset val="204"/>
    </font>
  </fonts>
  <fills count="1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6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0" borderId="0" xfId="0" applyFont="1"/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horizontal="justify" vertical="center"/>
    </xf>
    <xf numFmtId="0" fontId="16" fillId="0" borderId="0" xfId="0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6" fillId="0" borderId="0" xfId="0" applyFont="1"/>
    <xf numFmtId="0" fontId="17" fillId="2" borderId="2" xfId="0" applyFont="1" applyFill="1" applyBorder="1" applyAlignment="1">
      <alignment horizontal="center" vertical="top" wrapText="1"/>
    </xf>
    <xf numFmtId="0" fontId="18" fillId="3" borderId="1" xfId="0" applyFont="1" applyFill="1" applyBorder="1" applyAlignment="1">
      <alignment horizontal="justify" vertical="top" wrapText="1"/>
    </xf>
    <xf numFmtId="0" fontId="18" fillId="3" borderId="1" xfId="0" applyFont="1" applyFill="1" applyBorder="1" applyAlignment="1">
      <alignment horizontal="center" vertical="top" wrapText="1"/>
    </xf>
    <xf numFmtId="0" fontId="18" fillId="3" borderId="1" xfId="0" applyFont="1" applyFill="1" applyBorder="1" applyAlignment="1">
      <alignment horizontal="center" vertical="center" wrapText="1"/>
    </xf>
    <xf numFmtId="2" fontId="18" fillId="3" borderId="1" xfId="0" applyNumberFormat="1" applyFont="1" applyFill="1" applyBorder="1" applyAlignment="1">
      <alignment horizontal="justify" vertical="top" wrapText="1"/>
    </xf>
    <xf numFmtId="0" fontId="18" fillId="3" borderId="1" xfId="0" applyFont="1" applyFill="1" applyBorder="1" applyAlignment="1">
      <alignment horizontal="center"/>
    </xf>
    <xf numFmtId="2" fontId="17" fillId="4" borderId="3" xfId="0" applyNumberFormat="1" applyFont="1" applyFill="1" applyBorder="1" applyAlignment="1">
      <alignment horizontal="justify" vertical="top" wrapText="1"/>
    </xf>
    <xf numFmtId="0" fontId="19" fillId="3" borderId="3" xfId="0" applyFont="1" applyFill="1" applyBorder="1" applyAlignment="1">
      <alignment horizontal="center"/>
    </xf>
    <xf numFmtId="0" fontId="19" fillId="3" borderId="3" xfId="0" applyFont="1" applyFill="1" applyBorder="1" applyAlignment="1">
      <alignment horizontal="center" vertical="top" wrapText="1"/>
    </xf>
    <xf numFmtId="2" fontId="20" fillId="5" borderId="1" xfId="0" applyNumberFormat="1" applyFont="1" applyFill="1" applyBorder="1"/>
    <xf numFmtId="0" fontId="17" fillId="6" borderId="1" xfId="0" applyFont="1" applyFill="1" applyBorder="1" applyAlignment="1">
      <alignment horizontal="center" vertical="top" wrapText="1"/>
    </xf>
    <xf numFmtId="3" fontId="20" fillId="4" borderId="1" xfId="0" applyNumberFormat="1" applyFont="1" applyFill="1" applyBorder="1" applyAlignment="1">
      <alignment horizontal="center"/>
    </xf>
    <xf numFmtId="0" fontId="21" fillId="7" borderId="0" xfId="0" applyFont="1" applyFill="1" applyAlignment="1">
      <alignment horizontal="center" vertical="top" wrapText="1"/>
    </xf>
    <xf numFmtId="0" fontId="22" fillId="0" borderId="0" xfId="0" applyFont="1"/>
    <xf numFmtId="0" fontId="22" fillId="4" borderId="1" xfId="0" applyFont="1" applyFill="1" applyBorder="1"/>
    <xf numFmtId="0" fontId="23" fillId="4" borderId="1" xfId="0" applyFont="1" applyFill="1" applyBorder="1"/>
    <xf numFmtId="0" fontId="18" fillId="5" borderId="3" xfId="0" applyFont="1" applyFill="1" applyBorder="1" applyAlignment="1">
      <alignment horizontal="center"/>
    </xf>
    <xf numFmtId="0" fontId="18" fillId="5" borderId="1" xfId="0" applyFont="1" applyFill="1" applyBorder="1" applyAlignment="1">
      <alignment horizontal="center"/>
    </xf>
    <xf numFmtId="1" fontId="20" fillId="5" borderId="1" xfId="0" applyNumberFormat="1" applyFont="1" applyFill="1" applyBorder="1" applyAlignment="1">
      <alignment horizontal="center"/>
    </xf>
    <xf numFmtId="164" fontId="20" fillId="5" borderId="1" xfId="0" applyNumberFormat="1" applyFont="1" applyFill="1" applyBorder="1" applyAlignment="1">
      <alignment horizontal="center"/>
    </xf>
    <xf numFmtId="164" fontId="20" fillId="7" borderId="1" xfId="0" applyNumberFormat="1" applyFont="1" applyFill="1" applyBorder="1" applyAlignment="1">
      <alignment horizontal="center"/>
    </xf>
    <xf numFmtId="164" fontId="18" fillId="7" borderId="1" xfId="0" applyNumberFormat="1" applyFont="1" applyFill="1" applyBorder="1" applyAlignment="1">
      <alignment horizontal="center"/>
    </xf>
    <xf numFmtId="0" fontId="24" fillId="4" borderId="1" xfId="0" applyFont="1" applyFill="1" applyBorder="1" applyAlignment="1">
      <alignment horizontal="center"/>
    </xf>
    <xf numFmtId="2" fontId="18" fillId="5" borderId="3" xfId="0" applyNumberFormat="1" applyFont="1" applyFill="1" applyBorder="1" applyAlignment="1">
      <alignment horizontal="justify" vertical="top" wrapText="1"/>
    </xf>
    <xf numFmtId="2" fontId="18" fillId="5" borderId="1" xfId="0" applyNumberFormat="1" applyFont="1" applyFill="1" applyBorder="1" applyAlignment="1">
      <alignment horizontal="justify" vertical="top" wrapText="1"/>
    </xf>
    <xf numFmtId="2" fontId="18" fillId="5" borderId="1" xfId="0" applyNumberFormat="1" applyFont="1" applyFill="1" applyBorder="1"/>
    <xf numFmtId="2" fontId="18" fillId="7" borderId="1" xfId="0" applyNumberFormat="1" applyFont="1" applyFill="1" applyBorder="1"/>
    <xf numFmtId="2" fontId="18" fillId="7" borderId="1" xfId="0" applyNumberFormat="1" applyFont="1" applyFill="1" applyBorder="1" applyAlignment="1">
      <alignment horizontal="justify" vertical="top" wrapText="1"/>
    </xf>
    <xf numFmtId="0" fontId="16" fillId="0" borderId="0" xfId="0" applyFont="1" applyAlignment="1">
      <alignment wrapText="1"/>
    </xf>
    <xf numFmtId="0" fontId="15" fillId="8" borderId="0" xfId="0" applyFont="1" applyFill="1" applyAlignment="1">
      <alignment horizontal="justify" vertical="center"/>
    </xf>
    <xf numFmtId="0" fontId="16" fillId="8" borderId="0" xfId="0" applyFont="1" applyFill="1" applyAlignment="1">
      <alignment horizontal="justify" vertical="center"/>
    </xf>
    <xf numFmtId="0" fontId="25" fillId="0" borderId="0" xfId="0" applyFont="1" applyAlignment="1">
      <alignment wrapText="1"/>
    </xf>
    <xf numFmtId="0" fontId="16" fillId="8" borderId="0" xfId="0" applyFont="1" applyFill="1"/>
    <xf numFmtId="0" fontId="25" fillId="0" borderId="0" xfId="0" applyFont="1" applyAlignment="1">
      <alignment vertical="center" wrapText="1"/>
    </xf>
    <xf numFmtId="0" fontId="26" fillId="0" borderId="0" xfId="0" applyFont="1"/>
    <xf numFmtId="0" fontId="0" fillId="4" borderId="1" xfId="0" applyFill="1" applyBorder="1"/>
    <xf numFmtId="2" fontId="17" fillId="5" borderId="1" xfId="0" applyNumberFormat="1" applyFont="1" applyFill="1" applyBorder="1" applyAlignment="1">
      <alignment horizontal="center" vertical="top" wrapText="1"/>
    </xf>
    <xf numFmtId="0" fontId="18" fillId="9" borderId="1" xfId="0" applyFont="1" applyFill="1" applyBorder="1" applyAlignment="1">
      <alignment horizontal="center" vertical="top" wrapText="1"/>
    </xf>
    <xf numFmtId="0" fontId="18" fillId="9" borderId="1" xfId="0" applyFont="1" applyFill="1" applyBorder="1" applyAlignment="1">
      <alignment horizontal="center" vertical="center" wrapText="1"/>
    </xf>
    <xf numFmtId="1" fontId="18" fillId="5" borderId="3" xfId="0" applyNumberFormat="1" applyFont="1" applyFill="1" applyBorder="1" applyAlignment="1">
      <alignment horizontal="center"/>
    </xf>
    <xf numFmtId="2" fontId="20" fillId="7" borderId="1" xfId="0" applyNumberFormat="1" applyFont="1" applyFill="1" applyBorder="1" applyAlignment="1">
      <alignment horizontal="center"/>
    </xf>
    <xf numFmtId="2" fontId="20" fillId="5" borderId="1" xfId="0" applyNumberFormat="1" applyFont="1" applyFill="1" applyBorder="1" applyAlignment="1">
      <alignment horizontal="center"/>
    </xf>
    <xf numFmtId="1" fontId="22" fillId="4" borderId="1" xfId="0" applyNumberFormat="1" applyFont="1" applyFill="1" applyBorder="1"/>
    <xf numFmtId="1" fontId="24" fillId="4" borderId="1" xfId="0" applyNumberFormat="1" applyFont="1" applyFill="1" applyBorder="1" applyAlignment="1">
      <alignment horizontal="center"/>
    </xf>
    <xf numFmtId="164" fontId="0" fillId="0" borderId="0" xfId="0" applyNumberFormat="1"/>
    <xf numFmtId="3" fontId="0" fillId="0" borderId="0" xfId="0" applyNumberFormat="1"/>
    <xf numFmtId="0" fontId="29" fillId="0" borderId="0" xfId="0" applyFont="1" applyAlignment="1">
      <alignment vertical="center" wrapText="1"/>
    </xf>
    <xf numFmtId="164" fontId="29" fillId="0" borderId="0" xfId="0" applyNumberFormat="1" applyFont="1"/>
    <xf numFmtId="0" fontId="29" fillId="0" borderId="0" xfId="0" applyFont="1"/>
    <xf numFmtId="0" fontId="0" fillId="0" borderId="1" xfId="0" applyBorder="1"/>
    <xf numFmtId="164" fontId="0" fillId="0" borderId="1" xfId="0" applyNumberFormat="1" applyBorder="1"/>
    <xf numFmtId="3" fontId="0" fillId="0" borderId="1" xfId="0" applyNumberFormat="1" applyBorder="1"/>
    <xf numFmtId="2" fontId="0" fillId="0" borderId="1" xfId="0" applyNumberFormat="1" applyBorder="1"/>
    <xf numFmtId="0" fontId="29" fillId="0" borderId="1" xfId="0" applyFont="1" applyBorder="1" applyAlignment="1">
      <alignment vertical="center" wrapText="1"/>
    </xf>
    <xf numFmtId="3" fontId="29" fillId="0" borderId="1" xfId="0" applyNumberFormat="1" applyFont="1" applyBorder="1"/>
    <xf numFmtId="164" fontId="29" fillId="0" borderId="1" xfId="0" applyNumberFormat="1" applyFont="1" applyBorder="1"/>
    <xf numFmtId="0" fontId="29" fillId="0" borderId="1" xfId="0" applyFont="1" applyBorder="1"/>
    <xf numFmtId="0" fontId="17" fillId="2" borderId="4" xfId="0" applyFont="1" applyFill="1" applyBorder="1" applyAlignment="1">
      <alignment horizontal="center" vertical="top" wrapText="1"/>
    </xf>
    <xf numFmtId="0" fontId="17" fillId="2" borderId="5" xfId="0" applyFont="1" applyFill="1" applyBorder="1" applyAlignment="1">
      <alignment horizontal="center" vertical="top" wrapText="1"/>
    </xf>
    <xf numFmtId="0" fontId="27" fillId="2" borderId="6" xfId="0" applyFont="1" applyFill="1" applyBorder="1" applyAlignment="1">
      <alignment horizontal="center" vertical="top" wrapText="1"/>
    </xf>
    <xf numFmtId="0" fontId="27" fillId="2" borderId="7" xfId="0" applyFont="1" applyFill="1" applyBorder="1" applyAlignment="1">
      <alignment horizontal="center" vertical="top" wrapText="1"/>
    </xf>
    <xf numFmtId="0" fontId="27" fillId="2" borderId="8" xfId="0" applyFont="1" applyFill="1" applyBorder="1" applyAlignment="1">
      <alignment horizontal="center" vertical="top" wrapText="1"/>
    </xf>
    <xf numFmtId="0" fontId="28" fillId="0" borderId="9" xfId="0" applyFont="1" applyBorder="1" applyAlignment="1">
      <alignment horizontal="left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ru-RU" sz="1600" b="1" i="0" u="none" strike="noStrike" normalizeH="0" baseline="0">
                <a:effectLst/>
              </a:rPr>
              <a:t>СТРУКТУРА ЗАТРАТ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ru-BY"/>
        </a:p>
      </c:txPr>
    </c:title>
    <c:autoTitleDeleted val="0"/>
    <c:plotArea>
      <c:layout/>
      <c:doughnutChart>
        <c:varyColors val="1"/>
        <c:ser>
          <c:idx val="2"/>
          <c:order val="2"/>
          <c:dPt>
            <c:idx val="0"/>
            <c:bubble3D val="0"/>
            <c:spPr>
              <a:gradFill>
                <a:gsLst>
                  <a:gs pos="100000">
                    <a:schemeClr val="accent1">
                      <a:lumMod val="60000"/>
                      <a:lumOff val="40000"/>
                    </a:schemeClr>
                  </a:gs>
                  <a:gs pos="0">
                    <a:schemeClr val="accent1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A99-450F-88AE-AE63696012E0}"/>
              </c:ext>
            </c:extLst>
          </c:dPt>
          <c:dPt>
            <c:idx val="1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</a:schemeClr>
                  </a:gs>
                  <a:gs pos="0">
                    <a:schemeClr val="accent2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A99-450F-88AE-AE63696012E0}"/>
              </c:ext>
            </c:extLst>
          </c:dPt>
          <c:dPt>
            <c:idx val="2"/>
            <c:bubble3D val="0"/>
            <c:spPr>
              <a:gradFill>
                <a:gsLst>
                  <a:gs pos="100000">
                    <a:schemeClr val="accent3">
                      <a:lumMod val="60000"/>
                      <a:lumOff val="40000"/>
                    </a:schemeClr>
                  </a:gs>
                  <a:gs pos="0">
                    <a:schemeClr val="accent3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A99-450F-88AE-AE63696012E0}"/>
              </c:ext>
            </c:extLst>
          </c:dPt>
          <c:dPt>
            <c:idx val="3"/>
            <c:bubble3D val="0"/>
            <c:spPr>
              <a:gradFill>
                <a:gsLst>
                  <a:gs pos="100000">
                    <a:schemeClr val="accent4">
                      <a:lumMod val="60000"/>
                      <a:lumOff val="40000"/>
                    </a:schemeClr>
                  </a:gs>
                  <a:gs pos="0">
                    <a:schemeClr val="accent4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A99-450F-88AE-AE63696012E0}"/>
              </c:ext>
            </c:extLst>
          </c:dPt>
          <c:dPt>
            <c:idx val="4"/>
            <c:bubble3D val="0"/>
            <c:spPr>
              <a:gradFill>
                <a:gsLst>
                  <a:gs pos="100000">
                    <a:schemeClr val="accent5">
                      <a:lumMod val="60000"/>
                      <a:lumOff val="40000"/>
                    </a:schemeClr>
                  </a:gs>
                  <a:gs pos="0">
                    <a:schemeClr val="accent5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A99-450F-88AE-AE63696012E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BY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'Исх данные решение'!$A$34:$A$38</c:f>
              <c:strCache>
                <c:ptCount val="5"/>
                <c:pt idx="0">
                  <c:v>1. Материальные затраты</c:v>
                </c:pt>
                <c:pt idx="1">
                  <c:v>2. Фонд оплаты труда работников</c:v>
                </c:pt>
                <c:pt idx="2">
                  <c:v>3. Отчисления в ФСЗН</c:v>
                </c:pt>
                <c:pt idx="3">
                  <c:v>4. Амортизационные отчисления</c:v>
                </c:pt>
                <c:pt idx="4">
                  <c:v>5. Прочие</c:v>
                </c:pt>
              </c:strCache>
            </c:strRef>
          </c:cat>
          <c:val>
            <c:numRef>
              <c:f>'Исх данные решение'!$D$34:$D$38</c:f>
              <c:numCache>
                <c:formatCode>0</c:formatCode>
                <c:ptCount val="5"/>
                <c:pt idx="0">
                  <c:v>52.634400063527352</c:v>
                </c:pt>
                <c:pt idx="1">
                  <c:v>16.229254347653459</c:v>
                </c:pt>
                <c:pt idx="2">
                  <c:v>5.5179464782021759</c:v>
                </c:pt>
                <c:pt idx="3">
                  <c:v>5.0464543794171366</c:v>
                </c:pt>
                <c:pt idx="4">
                  <c:v>20.571944731199874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39-4F74-9582-F74E654C6E36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7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dPt>
                  <c:idx val="0"/>
                  <c:bubble3D val="0"/>
                  <c:spPr>
                    <a:gradFill>
                      <a:gsLst>
                        <a:gs pos="100000">
                          <a:schemeClr val="accent1">
                            <a:lumMod val="60000"/>
                            <a:lumOff val="40000"/>
                          </a:schemeClr>
                        </a:gs>
                        <a:gs pos="0">
                          <a:schemeClr val="accent1"/>
                        </a:gs>
                      </a:gsLst>
                      <a:lin ang="5400000" scaled="0"/>
                    </a:gra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0B-8A99-450F-88AE-AE63696012E0}"/>
                    </c:ext>
                  </c:extLst>
                </c:dPt>
                <c:dPt>
                  <c:idx val="1"/>
                  <c:bubble3D val="0"/>
                  <c:spPr>
                    <a:gradFill>
                      <a:gsLst>
                        <a:gs pos="100000">
                          <a:schemeClr val="accent2">
                            <a:lumMod val="60000"/>
                            <a:lumOff val="40000"/>
                          </a:schemeClr>
                        </a:gs>
                        <a:gs pos="0">
                          <a:schemeClr val="accent2"/>
                        </a:gs>
                      </a:gsLst>
                      <a:lin ang="5400000" scaled="0"/>
                    </a:gra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0D-8A99-450F-88AE-AE63696012E0}"/>
                    </c:ext>
                  </c:extLst>
                </c:dPt>
                <c:dPt>
                  <c:idx val="2"/>
                  <c:bubble3D val="0"/>
                  <c:spPr>
                    <a:gradFill>
                      <a:gsLst>
                        <a:gs pos="100000">
                          <a:schemeClr val="accent3">
                            <a:lumMod val="60000"/>
                            <a:lumOff val="40000"/>
                          </a:schemeClr>
                        </a:gs>
                        <a:gs pos="0">
                          <a:schemeClr val="accent3"/>
                        </a:gs>
                      </a:gsLst>
                      <a:lin ang="5400000" scaled="0"/>
                    </a:gra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0F-8A99-450F-88AE-AE63696012E0}"/>
                    </c:ext>
                  </c:extLst>
                </c:dPt>
                <c:dPt>
                  <c:idx val="3"/>
                  <c:bubble3D val="0"/>
                  <c:spPr>
                    <a:gradFill>
                      <a:gsLst>
                        <a:gs pos="100000">
                          <a:schemeClr val="accent4">
                            <a:lumMod val="60000"/>
                            <a:lumOff val="40000"/>
                          </a:schemeClr>
                        </a:gs>
                        <a:gs pos="0">
                          <a:schemeClr val="accent4"/>
                        </a:gs>
                      </a:gsLst>
                      <a:lin ang="5400000" scaled="0"/>
                    </a:gra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11-8A99-450F-88AE-AE63696012E0}"/>
                    </c:ext>
                  </c:extLst>
                </c:dPt>
                <c:dPt>
                  <c:idx val="4"/>
                  <c:bubble3D val="0"/>
                  <c:spPr>
                    <a:gradFill>
                      <a:gsLst>
                        <a:gs pos="100000">
                          <a:schemeClr val="accent5">
                            <a:lumMod val="60000"/>
                            <a:lumOff val="40000"/>
                          </a:schemeClr>
                        </a:gs>
                        <a:gs pos="0">
                          <a:schemeClr val="accent5"/>
                        </a:gs>
                      </a:gsLst>
                      <a:lin ang="5400000" scaled="0"/>
                    </a:gra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13-8A99-450F-88AE-AE63696012E0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dk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ru-BY"/>
                    </a:p>
                  </c:txPr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 cap="flat" cmpd="sng" algn="ctr">
                        <a:solidFill>
                          <a:schemeClr val="dk1">
                            <a:lumMod val="35000"/>
                            <a:lumOff val="65000"/>
                          </a:schemeClr>
                        </a:solidFill>
                        <a:round/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'Исх данные решение'!$A$34:$A$38</c15:sqref>
                        </c15:formulaRef>
                      </c:ext>
                    </c:extLst>
                    <c:strCache>
                      <c:ptCount val="5"/>
                      <c:pt idx="0">
                        <c:v>1. Материальные затраты</c:v>
                      </c:pt>
                      <c:pt idx="1">
                        <c:v>2. Фонд оплаты труда работников</c:v>
                      </c:pt>
                      <c:pt idx="2">
                        <c:v>3. Отчисления в ФСЗН</c:v>
                      </c:pt>
                      <c:pt idx="3">
                        <c:v>4. Амортизационные отчисления</c:v>
                      </c:pt>
                      <c:pt idx="4">
                        <c:v>5. Прочие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'Исх данные решение'!$B$34:$B$38</c15:sqref>
                        </c15:formulaRef>
                      </c:ext>
                    </c:extLst>
                    <c:numCache>
                      <c:formatCode>General</c:formatCode>
                      <c:ptCount val="5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639-4F74-9582-F74E654C6E36}"/>
                  </c:ext>
                </c:extLst>
              </c15:ser>
            </c15:filteredPieSeries>
            <c15:filteredPieSeries>
              <c15:ser>
                <c:idx val="1"/>
                <c:order val="1"/>
                <c:dPt>
                  <c:idx val="0"/>
                  <c:bubble3D val="0"/>
                  <c:spPr>
                    <a:gradFill>
                      <a:gsLst>
                        <a:gs pos="100000">
                          <a:schemeClr val="accent1">
                            <a:lumMod val="60000"/>
                            <a:lumOff val="40000"/>
                          </a:schemeClr>
                        </a:gs>
                        <a:gs pos="0">
                          <a:schemeClr val="accent1"/>
                        </a:gs>
                      </a:gsLst>
                      <a:lin ang="5400000" scaled="0"/>
                    </a:gra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15-8A99-450F-88AE-AE63696012E0}"/>
                    </c:ext>
                  </c:extLst>
                </c:dPt>
                <c:dPt>
                  <c:idx val="1"/>
                  <c:bubble3D val="0"/>
                  <c:spPr>
                    <a:gradFill>
                      <a:gsLst>
                        <a:gs pos="100000">
                          <a:schemeClr val="accent2">
                            <a:lumMod val="60000"/>
                            <a:lumOff val="40000"/>
                          </a:schemeClr>
                        </a:gs>
                        <a:gs pos="0">
                          <a:schemeClr val="accent2"/>
                        </a:gs>
                      </a:gsLst>
                      <a:lin ang="5400000" scaled="0"/>
                    </a:gra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17-8A99-450F-88AE-AE63696012E0}"/>
                    </c:ext>
                  </c:extLst>
                </c:dPt>
                <c:dPt>
                  <c:idx val="2"/>
                  <c:bubble3D val="0"/>
                  <c:spPr>
                    <a:gradFill>
                      <a:gsLst>
                        <a:gs pos="100000">
                          <a:schemeClr val="accent3">
                            <a:lumMod val="60000"/>
                            <a:lumOff val="40000"/>
                          </a:schemeClr>
                        </a:gs>
                        <a:gs pos="0">
                          <a:schemeClr val="accent3"/>
                        </a:gs>
                      </a:gsLst>
                      <a:lin ang="5400000" scaled="0"/>
                    </a:gra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19-8A99-450F-88AE-AE63696012E0}"/>
                    </c:ext>
                  </c:extLst>
                </c:dPt>
                <c:dPt>
                  <c:idx val="3"/>
                  <c:bubble3D val="0"/>
                  <c:spPr>
                    <a:gradFill>
                      <a:gsLst>
                        <a:gs pos="100000">
                          <a:schemeClr val="accent4">
                            <a:lumMod val="60000"/>
                            <a:lumOff val="40000"/>
                          </a:schemeClr>
                        </a:gs>
                        <a:gs pos="0">
                          <a:schemeClr val="accent4"/>
                        </a:gs>
                      </a:gsLst>
                      <a:lin ang="5400000" scaled="0"/>
                    </a:gra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1B-8A99-450F-88AE-AE63696012E0}"/>
                    </c:ext>
                  </c:extLst>
                </c:dPt>
                <c:dPt>
                  <c:idx val="4"/>
                  <c:bubble3D val="0"/>
                  <c:spPr>
                    <a:gradFill>
                      <a:gsLst>
                        <a:gs pos="100000">
                          <a:schemeClr val="accent5">
                            <a:lumMod val="60000"/>
                            <a:lumOff val="40000"/>
                          </a:schemeClr>
                        </a:gs>
                        <a:gs pos="0">
                          <a:schemeClr val="accent5"/>
                        </a:gs>
                      </a:gsLst>
                      <a:lin ang="5400000" scaled="0"/>
                    </a:gra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1D-8A99-450F-88AE-AE63696012E0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dk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ru-BY"/>
                    </a:p>
                  </c:txPr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 cap="flat" cmpd="sng" algn="ctr">
                        <a:solidFill>
                          <a:schemeClr val="dk1">
                            <a:lumMod val="35000"/>
                            <a:lumOff val="65000"/>
                          </a:schemeClr>
                        </a:solidFill>
                        <a:round/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'Исх данные решение'!$A$34:$A$38</c15:sqref>
                        </c15:formulaRef>
                      </c:ext>
                    </c:extLst>
                    <c:strCache>
                      <c:ptCount val="5"/>
                      <c:pt idx="0">
                        <c:v>1. Материальные затраты</c:v>
                      </c:pt>
                      <c:pt idx="1">
                        <c:v>2. Фонд оплаты труда работников</c:v>
                      </c:pt>
                      <c:pt idx="2">
                        <c:v>3. Отчисления в ФСЗН</c:v>
                      </c:pt>
                      <c:pt idx="3">
                        <c:v>4. Амортизационные отчисления</c:v>
                      </c:pt>
                      <c:pt idx="4">
                        <c:v>5. Прочие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'Исх данные решение'!$C$34:$C$38</c15:sqref>
                        </c15:formulaRef>
                      </c:ext>
                    </c:extLst>
                    <c:numCache>
                      <c:formatCode>General</c:formatCode>
                      <c:ptCount val="5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639-4F74-9582-F74E654C6E36}"/>
                  </c:ext>
                </c:extLst>
              </c15:ser>
            </c15:filteredPieSeries>
          </c:ext>
        </c:extLst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BY"/>
        </a:p>
      </c:txPr>
    </c:legend>
    <c:plotVisOnly val="1"/>
    <c:dispBlanksAs val="gap"/>
    <c:showDLblsOverMax val="0"/>
  </c:chart>
  <c:spPr>
    <a:pattFill prst="dkDnDiag">
      <a:fgClr>
        <a:schemeClr val="lt1"/>
      </a:fgClr>
      <a:bgClr>
        <a:schemeClr val="dk1">
          <a:lumMod val="10000"/>
          <a:lumOff val="90000"/>
        </a:schemeClr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BY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Точка</a:t>
            </a:r>
            <a:r>
              <a:rPr lang="ru-RU" baseline="0"/>
              <a:t> безубыточности, шт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BY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'Исх данные решение'!$F$66</c:f>
              <c:strCache>
                <c:ptCount val="1"/>
                <c:pt idx="0">
                  <c:v>Зитого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xVal>
            <c:numRef>
              <c:f>'Исх данные решение'!$E$67:$E$81</c:f>
              <c:numCache>
                <c:formatCode>0.0</c:formatCode>
                <c:ptCount val="15"/>
                <c:pt idx="0">
                  <c:v>5229.2222222222217</c:v>
                </c:pt>
                <c:pt idx="1">
                  <c:v>7843.833333333333</c:v>
                </c:pt>
                <c:pt idx="2">
                  <c:v>10066.707843270338</c:v>
                </c:pt>
                <c:pt idx="3">
                  <c:v>10458.444444444443</c:v>
                </c:pt>
                <c:pt idx="4">
                  <c:v>13073.055555555557</c:v>
                </c:pt>
                <c:pt idx="5">
                  <c:v>15687.666666666666</c:v>
                </c:pt>
                <c:pt idx="6">
                  <c:v>18302.277777777777</c:v>
                </c:pt>
                <c:pt idx="7">
                  <c:v>20916.888888888887</c:v>
                </c:pt>
                <c:pt idx="8">
                  <c:v>23531.5</c:v>
                </c:pt>
                <c:pt idx="9">
                  <c:v>26146.111111111113</c:v>
                </c:pt>
                <c:pt idx="10">
                  <c:v>28760.722222222219</c:v>
                </c:pt>
                <c:pt idx="11">
                  <c:v>31375.333333333332</c:v>
                </c:pt>
                <c:pt idx="12">
                  <c:v>33989.944444444445</c:v>
                </c:pt>
                <c:pt idx="13">
                  <c:v>36604.555555555555</c:v>
                </c:pt>
                <c:pt idx="14">
                  <c:v>37650.400000000001</c:v>
                </c:pt>
              </c:numCache>
            </c:numRef>
          </c:xVal>
          <c:yVal>
            <c:numRef>
              <c:f>'Исх данные решение'!$F$67:$F$81</c:f>
              <c:numCache>
                <c:formatCode>0.0</c:formatCode>
                <c:ptCount val="15"/>
                <c:pt idx="0">
                  <c:v>7876.4222222222215</c:v>
                </c:pt>
                <c:pt idx="1">
                  <c:v>10491.033333333333</c:v>
                </c:pt>
                <c:pt idx="2">
                  <c:v>12713.907843270339</c:v>
                </c:pt>
                <c:pt idx="3">
                  <c:v>13105.644444444442</c:v>
                </c:pt>
                <c:pt idx="4">
                  <c:v>15720.255555555555</c:v>
                </c:pt>
                <c:pt idx="5">
                  <c:v>18334.866666666665</c:v>
                </c:pt>
                <c:pt idx="6">
                  <c:v>20949.477777777778</c:v>
                </c:pt>
                <c:pt idx="7">
                  <c:v>23564.088888888888</c:v>
                </c:pt>
                <c:pt idx="8">
                  <c:v>26178.7</c:v>
                </c:pt>
                <c:pt idx="9">
                  <c:v>28793.311111111114</c:v>
                </c:pt>
                <c:pt idx="10">
                  <c:v>31407.92222222222</c:v>
                </c:pt>
                <c:pt idx="11">
                  <c:v>34022.533333333333</c:v>
                </c:pt>
                <c:pt idx="12">
                  <c:v>36637.144444444442</c:v>
                </c:pt>
                <c:pt idx="13">
                  <c:v>39251.755555555552</c:v>
                </c:pt>
                <c:pt idx="14">
                  <c:v>40297.599999999999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FB-4751-B186-27C2B89610FE}"/>
            </c:ext>
          </c:extLst>
        </c:ser>
        <c:ser>
          <c:idx val="1"/>
          <c:order val="1"/>
          <c:tx>
            <c:strRef>
              <c:f>'Исх данные решение'!$G$66</c:f>
              <c:strCache>
                <c:ptCount val="1"/>
                <c:pt idx="0">
                  <c:v>Выручка общ, тыс руб</c:v>
                </c:pt>
              </c:strCache>
            </c:strRef>
          </c:tx>
          <c:spPr>
            <a:ln w="95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xVal>
            <c:numRef>
              <c:f>'Исх данные решение'!$E$67:$E$81</c:f>
              <c:numCache>
                <c:formatCode>0.0</c:formatCode>
                <c:ptCount val="15"/>
                <c:pt idx="0">
                  <c:v>5229.2222222222217</c:v>
                </c:pt>
                <c:pt idx="1">
                  <c:v>7843.833333333333</c:v>
                </c:pt>
                <c:pt idx="2">
                  <c:v>10066.707843270338</c:v>
                </c:pt>
                <c:pt idx="3">
                  <c:v>10458.444444444443</c:v>
                </c:pt>
                <c:pt idx="4">
                  <c:v>13073.055555555557</c:v>
                </c:pt>
                <c:pt idx="5">
                  <c:v>15687.666666666666</c:v>
                </c:pt>
                <c:pt idx="6">
                  <c:v>18302.277777777777</c:v>
                </c:pt>
                <c:pt idx="7">
                  <c:v>20916.888888888887</c:v>
                </c:pt>
                <c:pt idx="8">
                  <c:v>23531.5</c:v>
                </c:pt>
                <c:pt idx="9">
                  <c:v>26146.111111111113</c:v>
                </c:pt>
                <c:pt idx="10">
                  <c:v>28760.722222222219</c:v>
                </c:pt>
                <c:pt idx="11">
                  <c:v>31375.333333333332</c:v>
                </c:pt>
                <c:pt idx="12">
                  <c:v>33989.944444444445</c:v>
                </c:pt>
                <c:pt idx="13">
                  <c:v>36604.555555555555</c:v>
                </c:pt>
                <c:pt idx="14">
                  <c:v>37650.400000000001</c:v>
                </c:pt>
              </c:numCache>
            </c:numRef>
          </c:xVal>
          <c:yVal>
            <c:numRef>
              <c:f>'Исх данные решение'!$G$67:$G$81</c:f>
              <c:numCache>
                <c:formatCode>General</c:formatCode>
                <c:ptCount val="15"/>
                <c:pt idx="0">
                  <c:v>6604.3288888888892</c:v>
                </c:pt>
                <c:pt idx="1">
                  <c:v>9906.4933333333338</c:v>
                </c:pt>
                <c:pt idx="2">
                  <c:v>12713.907843270339</c:v>
                </c:pt>
                <c:pt idx="3">
                  <c:v>13208.657777777778</c:v>
                </c:pt>
                <c:pt idx="4">
                  <c:v>16510.822222222221</c:v>
                </c:pt>
                <c:pt idx="5">
                  <c:v>19812.986666666668</c:v>
                </c:pt>
                <c:pt idx="6">
                  <c:v>23115.15111111111</c:v>
                </c:pt>
                <c:pt idx="7">
                  <c:v>26417.315555555557</c:v>
                </c:pt>
                <c:pt idx="8">
                  <c:v>29719.48</c:v>
                </c:pt>
                <c:pt idx="9">
                  <c:v>33021.644444444442</c:v>
                </c:pt>
                <c:pt idx="10">
                  <c:v>36323.808888888889</c:v>
                </c:pt>
                <c:pt idx="11">
                  <c:v>39625.973333333335</c:v>
                </c:pt>
                <c:pt idx="12">
                  <c:v>42928.137777777774</c:v>
                </c:pt>
                <c:pt idx="13">
                  <c:v>46230.302222222221</c:v>
                </c:pt>
                <c:pt idx="14">
                  <c:v>47551.167999999998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FB-4751-B186-27C2B89610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3482920"/>
        <c:axId val="643483280"/>
      </c:scatterChart>
      <c:valAx>
        <c:axId val="643482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BY"/>
          </a:p>
        </c:txPr>
        <c:crossAx val="643483280"/>
        <c:crosses val="autoZero"/>
        <c:crossBetween val="midCat"/>
      </c:valAx>
      <c:valAx>
        <c:axId val="643483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BY"/>
          </a:p>
        </c:txPr>
        <c:crossAx val="643482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BY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BY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/>
        </a:fgClr>
        <a:bgClr>
          <a:schemeClr val="dk1">
            <a:lumMod val="10000"/>
            <a:lumOff val="90000"/>
          </a:schemeClr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508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50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emf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wmf"/><Relationship Id="rId2" Type="http://schemas.openxmlformats.org/officeDocument/2006/relationships/image" Target="../media/image2.wmf"/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282389</xdr:colOff>
      <xdr:row>41</xdr:row>
      <xdr:rowOff>165847</xdr:rowOff>
    </xdr:from>
    <xdr:to>
      <xdr:col>2</xdr:col>
      <xdr:colOff>461683</xdr:colOff>
      <xdr:row>58</xdr:row>
      <xdr:rowOff>13447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443754</xdr:colOff>
      <xdr:row>65</xdr:row>
      <xdr:rowOff>255494</xdr:rowOff>
    </xdr:from>
    <xdr:to>
      <xdr:col>16</xdr:col>
      <xdr:colOff>237565</xdr:colOff>
      <xdr:row>79</xdr:row>
      <xdr:rowOff>112059</xdr:rowOff>
    </xdr:to>
    <xdr:graphicFrame macro="">
      <xdr:nvGraphicFramePr>
        <xdr:cNvPr id="11" name="Диаграмма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2918460</xdr:colOff>
          <xdr:row>11</xdr:row>
          <xdr:rowOff>30480</xdr:rowOff>
        </xdr:from>
        <xdr:to>
          <xdr:col>0</xdr:col>
          <xdr:colOff>3497580</xdr:colOff>
          <xdr:row>12</xdr:row>
          <xdr:rowOff>15240</xdr:rowOff>
        </xdr:to>
        <xdr:sp macro="" textlink="">
          <xdr:nvSpPr>
            <xdr:cNvPr id="24578" name="Object 2" hidden="1">
              <a:extLst>
                <a:ext uri="{63B3BB69-23CF-44E3-9099-C40C66FF867C}">
                  <a14:compatExt spid="_x0000_s24578"/>
                </a:ext>
                <a:ext uri="{FF2B5EF4-FFF2-40B4-BE49-F238E27FC236}">
                  <a16:creationId xmlns:a16="http://schemas.microsoft.com/office/drawing/2014/main" id="{00000000-0008-0000-0100-0000026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2788920</xdr:colOff>
          <xdr:row>13</xdr:row>
          <xdr:rowOff>190500</xdr:rowOff>
        </xdr:from>
        <xdr:to>
          <xdr:col>0</xdr:col>
          <xdr:colOff>3756660</xdr:colOff>
          <xdr:row>15</xdr:row>
          <xdr:rowOff>0</xdr:rowOff>
        </xdr:to>
        <xdr:sp macro="" textlink="">
          <xdr:nvSpPr>
            <xdr:cNvPr id="24577" name="Object 1" hidden="1">
              <a:extLst>
                <a:ext uri="{63B3BB69-23CF-44E3-9099-C40C66FF867C}">
                  <a14:compatExt spid="_x0000_s24577"/>
                </a:ext>
                <a:ext uri="{FF2B5EF4-FFF2-40B4-BE49-F238E27FC236}">
                  <a16:creationId xmlns:a16="http://schemas.microsoft.com/office/drawing/2014/main" id="{00000000-0008-0000-0100-0000016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2682240</xdr:colOff>
          <xdr:row>19</xdr:row>
          <xdr:rowOff>38100</xdr:rowOff>
        </xdr:from>
        <xdr:to>
          <xdr:col>0</xdr:col>
          <xdr:colOff>3764280</xdr:colOff>
          <xdr:row>21</xdr:row>
          <xdr:rowOff>0</xdr:rowOff>
        </xdr:to>
        <xdr:sp macro="" textlink="">
          <xdr:nvSpPr>
            <xdr:cNvPr id="24579" name="Object 3" hidden="1">
              <a:extLst>
                <a:ext uri="{63B3BB69-23CF-44E3-9099-C40C66FF867C}">
                  <a14:compatExt spid="_x0000_s24579"/>
                </a:ext>
                <a:ext uri="{FF2B5EF4-FFF2-40B4-BE49-F238E27FC236}">
                  <a16:creationId xmlns:a16="http://schemas.microsoft.com/office/drawing/2014/main" id="{00000000-0008-0000-0100-0000036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8</xdr:col>
      <xdr:colOff>6439</xdr:colOff>
      <xdr:row>44</xdr:row>
      <xdr:rowOff>32197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23927"/>
          <a:ext cx="8023538" cy="69545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590913</xdr:colOff>
      <xdr:row>0</xdr:row>
      <xdr:rowOff>143941</xdr:rowOff>
    </xdr:from>
    <xdr:to>
      <xdr:col>16</xdr:col>
      <xdr:colOff>571565</xdr:colOff>
      <xdr:row>23</xdr:row>
      <xdr:rowOff>8619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606118" y="9409154"/>
          <a:ext cx="4950381" cy="3523793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25</xdr:row>
      <xdr:rowOff>0</xdr:rowOff>
    </xdr:from>
    <xdr:to>
      <xdr:col>21</xdr:col>
      <xdr:colOff>445530</xdr:colOff>
      <xdr:row>58</xdr:row>
      <xdr:rowOff>95833</xdr:rowOff>
    </xdr:to>
    <xdr:pic>
      <xdr:nvPicPr>
        <xdr:cNvPr id="8" name="Рисунок 13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678" t="14519" r="36909" b="32175"/>
        <a:stretch>
          <a:fillRect/>
        </a:stretch>
      </xdr:blipFill>
      <xdr:spPr bwMode="auto">
        <a:xfrm>
          <a:off x="8636421" y="13242512"/>
          <a:ext cx="7900124" cy="534586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wmf"/><Relationship Id="rId3" Type="http://schemas.openxmlformats.org/officeDocument/2006/relationships/oleObject" Target="../embeddings/oleObject1.bin"/><Relationship Id="rId7" Type="http://schemas.openxmlformats.org/officeDocument/2006/relationships/oleObject" Target="../embeddings/oleObject3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6" Type="http://schemas.openxmlformats.org/officeDocument/2006/relationships/image" Target="../media/image2.wmf"/><Relationship Id="rId5" Type="http://schemas.openxmlformats.org/officeDocument/2006/relationships/oleObject" Target="../embeddings/oleObject2.bin"/><Relationship Id="rId4" Type="http://schemas.openxmlformats.org/officeDocument/2006/relationships/image" Target="../media/image1.wmf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1"/>
  <sheetViews>
    <sheetView tabSelected="1" zoomScale="85" zoomScaleNormal="85" workbookViewId="0">
      <selection activeCell="H69" sqref="H69"/>
    </sheetView>
  </sheetViews>
  <sheetFormatPr defaultRowHeight="13.2" x14ac:dyDescent="0.25"/>
  <cols>
    <col min="1" max="1" width="56" customWidth="1"/>
    <col min="2" max="2" width="8.109375" customWidth="1"/>
    <col min="3" max="3" width="8" customWidth="1"/>
    <col min="4" max="4" width="14" customWidth="1"/>
    <col min="5" max="5" width="8.77734375" customWidth="1"/>
    <col min="6" max="6" width="8.21875" customWidth="1"/>
    <col min="7" max="7" width="8.77734375" customWidth="1"/>
    <col min="8" max="9" width="7.5546875" customWidth="1"/>
    <col min="10" max="10" width="8.44140625" customWidth="1"/>
    <col min="11" max="11" width="9.109375" customWidth="1"/>
  </cols>
  <sheetData>
    <row r="1" spans="1:11" s="1" customFormat="1" ht="90.3" customHeight="1" thickBot="1" x14ac:dyDescent="0.4">
      <c r="A1" s="70" t="s">
        <v>63</v>
      </c>
      <c r="B1" s="70"/>
      <c r="C1" s="70"/>
      <c r="D1" s="70"/>
      <c r="E1" s="70"/>
      <c r="F1" s="70"/>
      <c r="G1" s="70"/>
      <c r="H1" s="70"/>
      <c r="I1" s="70"/>
      <c r="J1" s="70"/>
      <c r="K1" s="70"/>
    </row>
    <row r="2" spans="1:11" ht="16.2" thickBot="1" x14ac:dyDescent="0.3">
      <c r="A2" s="65" t="s">
        <v>0</v>
      </c>
      <c r="B2" s="67" t="s">
        <v>1</v>
      </c>
      <c r="C2" s="68"/>
      <c r="D2" s="68"/>
      <c r="E2" s="68"/>
      <c r="F2" s="68"/>
      <c r="G2" s="68"/>
      <c r="H2" s="68"/>
      <c r="I2" s="68"/>
      <c r="J2" s="68"/>
      <c r="K2" s="69"/>
    </row>
    <row r="3" spans="1:11" ht="15.6" x14ac:dyDescent="0.25">
      <c r="A3" s="66"/>
      <c r="B3" s="8">
        <v>1</v>
      </c>
      <c r="C3" s="8">
        <v>2</v>
      </c>
      <c r="D3" s="8">
        <v>3</v>
      </c>
      <c r="E3" s="8">
        <v>4</v>
      </c>
      <c r="F3" s="8">
        <v>5</v>
      </c>
      <c r="G3" s="8">
        <v>6</v>
      </c>
      <c r="H3" s="8">
        <v>7</v>
      </c>
      <c r="I3" s="8">
        <v>8</v>
      </c>
      <c r="J3" s="8">
        <v>9</v>
      </c>
      <c r="K3" s="8">
        <v>10</v>
      </c>
    </row>
    <row r="4" spans="1:11" ht="13.65" customHeight="1" x14ac:dyDescent="0.25">
      <c r="A4" s="9" t="s">
        <v>16</v>
      </c>
      <c r="B4" s="10">
        <v>48000</v>
      </c>
      <c r="C4" s="10">
        <v>60000</v>
      </c>
      <c r="D4" s="45">
        <v>72000</v>
      </c>
      <c r="E4" s="10">
        <v>50000</v>
      </c>
      <c r="F4" s="10">
        <v>45000</v>
      </c>
      <c r="G4" s="11">
        <v>63000</v>
      </c>
      <c r="H4" s="11">
        <v>70000</v>
      </c>
      <c r="I4" s="11">
        <v>60000</v>
      </c>
      <c r="J4" s="11">
        <v>55000</v>
      </c>
      <c r="K4" s="11">
        <v>74000</v>
      </c>
    </row>
    <row r="5" spans="1:11" ht="13.65" customHeight="1" x14ac:dyDescent="0.25">
      <c r="A5" s="12" t="s">
        <v>17</v>
      </c>
      <c r="B5" s="10">
        <v>300</v>
      </c>
      <c r="C5" s="10">
        <v>220</v>
      </c>
      <c r="D5" s="45">
        <v>240</v>
      </c>
      <c r="E5" s="10">
        <v>350</v>
      </c>
      <c r="F5" s="10">
        <v>270</v>
      </c>
      <c r="G5" s="11">
        <v>280</v>
      </c>
      <c r="H5" s="11">
        <v>350</v>
      </c>
      <c r="I5" s="11">
        <v>400</v>
      </c>
      <c r="J5" s="11">
        <v>370</v>
      </c>
      <c r="K5" s="11">
        <v>185</v>
      </c>
    </row>
    <row r="6" spans="1:11" ht="15.45" customHeight="1" x14ac:dyDescent="0.25">
      <c r="A6" s="12" t="s">
        <v>18</v>
      </c>
      <c r="B6" s="10">
        <v>95</v>
      </c>
      <c r="C6" s="10">
        <v>80</v>
      </c>
      <c r="D6" s="45">
        <v>140</v>
      </c>
      <c r="E6" s="10">
        <v>160</v>
      </c>
      <c r="F6" s="10">
        <v>155</v>
      </c>
      <c r="G6" s="11">
        <v>130</v>
      </c>
      <c r="H6" s="11">
        <v>240</v>
      </c>
      <c r="I6" s="11">
        <v>270</v>
      </c>
      <c r="J6" s="11">
        <v>360</v>
      </c>
      <c r="K6" s="11">
        <v>150</v>
      </c>
    </row>
    <row r="7" spans="1:11" ht="13.35" customHeight="1" x14ac:dyDescent="0.25">
      <c r="A7" s="12" t="s">
        <v>2</v>
      </c>
      <c r="B7" s="10">
        <v>0.35</v>
      </c>
      <c r="C7" s="10">
        <v>0.37</v>
      </c>
      <c r="D7" s="45">
        <v>0.38</v>
      </c>
      <c r="E7" s="10">
        <v>0.4</v>
      </c>
      <c r="F7" s="10">
        <v>0.39</v>
      </c>
      <c r="G7" s="11">
        <v>0.38</v>
      </c>
      <c r="H7" s="11">
        <v>0.35</v>
      </c>
      <c r="I7" s="11">
        <v>0.37</v>
      </c>
      <c r="J7" s="11">
        <v>0.36</v>
      </c>
      <c r="K7" s="11">
        <v>0.42</v>
      </c>
    </row>
    <row r="8" spans="1:11" ht="30" customHeight="1" x14ac:dyDescent="0.25">
      <c r="A8" s="12" t="s">
        <v>19</v>
      </c>
      <c r="B8" s="11">
        <v>75</v>
      </c>
      <c r="C8" s="11">
        <v>95</v>
      </c>
      <c r="D8" s="46">
        <v>90</v>
      </c>
      <c r="E8" s="11">
        <v>85</v>
      </c>
      <c r="F8" s="11">
        <v>65</v>
      </c>
      <c r="G8" s="11">
        <v>65</v>
      </c>
      <c r="H8" s="11">
        <v>70</v>
      </c>
      <c r="I8" s="11">
        <v>50</v>
      </c>
      <c r="J8" s="11">
        <v>45</v>
      </c>
      <c r="K8" s="11">
        <v>60</v>
      </c>
    </row>
    <row r="9" spans="1:11" ht="26.4" customHeight="1" x14ac:dyDescent="0.25">
      <c r="A9" s="12" t="s">
        <v>3</v>
      </c>
      <c r="B9" s="11">
        <v>55</v>
      </c>
      <c r="C9" s="11">
        <v>65</v>
      </c>
      <c r="D9" s="46">
        <v>60</v>
      </c>
      <c r="E9" s="11">
        <v>50</v>
      </c>
      <c r="F9" s="11">
        <v>40</v>
      </c>
      <c r="G9" s="11">
        <v>8.58</v>
      </c>
      <c r="H9" s="11">
        <v>3.14</v>
      </c>
      <c r="I9" s="11">
        <v>3.56</v>
      </c>
      <c r="J9" s="11">
        <v>4.68</v>
      </c>
      <c r="K9" s="11">
        <v>7.34</v>
      </c>
    </row>
    <row r="10" spans="1:11" ht="16.8" customHeight="1" x14ac:dyDescent="0.25">
      <c r="A10" s="12" t="s">
        <v>44</v>
      </c>
      <c r="B10" s="11">
        <v>6560</v>
      </c>
      <c r="C10" s="11">
        <v>3840</v>
      </c>
      <c r="D10" s="46">
        <v>5460</v>
      </c>
      <c r="E10" s="11">
        <v>6250</v>
      </c>
      <c r="F10" s="11">
        <v>7280</v>
      </c>
      <c r="G10" s="11">
        <v>19840</v>
      </c>
      <c r="H10" s="11">
        <v>15270</v>
      </c>
      <c r="I10" s="11">
        <v>16450</v>
      </c>
      <c r="J10" s="11">
        <v>17150</v>
      </c>
      <c r="K10" s="11">
        <v>19270</v>
      </c>
    </row>
    <row r="11" spans="1:11" ht="13.65" customHeight="1" x14ac:dyDescent="0.25">
      <c r="A11" s="12" t="s">
        <v>45</v>
      </c>
      <c r="B11" s="11">
        <v>19670</v>
      </c>
      <c r="C11" s="11">
        <v>18350</v>
      </c>
      <c r="D11" s="46">
        <v>19960</v>
      </c>
      <c r="E11" s="11">
        <v>18470</v>
      </c>
      <c r="F11" s="11">
        <v>19520</v>
      </c>
      <c r="G11" s="11">
        <v>13000</v>
      </c>
      <c r="H11" s="11">
        <v>14000</v>
      </c>
      <c r="I11" s="11">
        <v>11000</v>
      </c>
      <c r="J11" s="11">
        <v>10000</v>
      </c>
      <c r="K11" s="11">
        <v>12000</v>
      </c>
    </row>
    <row r="12" spans="1:11" ht="13.65" customHeight="1" x14ac:dyDescent="0.25">
      <c r="A12" s="12" t="s">
        <v>26</v>
      </c>
      <c r="B12" s="11">
        <v>10</v>
      </c>
      <c r="C12" s="11">
        <v>12</v>
      </c>
      <c r="D12" s="46">
        <v>8</v>
      </c>
      <c r="E12" s="11">
        <v>11</v>
      </c>
      <c r="F12" s="11">
        <v>10</v>
      </c>
      <c r="G12" s="11">
        <v>7</v>
      </c>
      <c r="H12" s="11">
        <v>9</v>
      </c>
      <c r="I12" s="11">
        <v>15</v>
      </c>
      <c r="J12" s="11">
        <v>12</v>
      </c>
      <c r="K12" s="11">
        <v>6</v>
      </c>
    </row>
    <row r="13" spans="1:11" ht="15.15" customHeight="1" x14ac:dyDescent="0.25">
      <c r="A13" s="12" t="s">
        <v>27</v>
      </c>
      <c r="B13" s="11">
        <v>9000</v>
      </c>
      <c r="C13" s="11">
        <v>5500</v>
      </c>
      <c r="D13" s="46">
        <v>6000</v>
      </c>
      <c r="E13" s="11">
        <v>8000</v>
      </c>
      <c r="F13" s="11">
        <v>4500</v>
      </c>
      <c r="G13" s="11">
        <v>2200</v>
      </c>
      <c r="H13" s="11">
        <v>2300</v>
      </c>
      <c r="I13" s="11">
        <v>1800</v>
      </c>
      <c r="J13" s="11">
        <v>2050</v>
      </c>
      <c r="K13" s="11">
        <v>2000</v>
      </c>
    </row>
    <row r="14" spans="1:11" ht="13.8" customHeight="1" x14ac:dyDescent="0.25">
      <c r="A14" s="12" t="s">
        <v>28</v>
      </c>
      <c r="B14" s="11">
        <v>2600</v>
      </c>
      <c r="C14" s="11">
        <v>2100</v>
      </c>
      <c r="D14" s="46">
        <v>1700</v>
      </c>
      <c r="E14" s="11">
        <v>2500</v>
      </c>
      <c r="F14" s="11">
        <v>1900</v>
      </c>
      <c r="G14" s="11">
        <v>190</v>
      </c>
      <c r="H14" s="11">
        <v>100</v>
      </c>
      <c r="I14" s="11">
        <v>170</v>
      </c>
      <c r="J14" s="11">
        <v>130</v>
      </c>
      <c r="K14" s="11">
        <v>110</v>
      </c>
    </row>
    <row r="15" spans="1:11" ht="18.3" customHeight="1" x14ac:dyDescent="0.25">
      <c r="A15" s="12" t="s">
        <v>29</v>
      </c>
      <c r="B15" s="11">
        <v>200</v>
      </c>
      <c r="C15" s="11">
        <v>180</v>
      </c>
      <c r="D15" s="46">
        <v>150</v>
      </c>
      <c r="E15" s="11">
        <v>210</v>
      </c>
      <c r="F15" s="11">
        <v>140</v>
      </c>
      <c r="G15" s="11">
        <v>150</v>
      </c>
      <c r="H15" s="11">
        <v>280</v>
      </c>
      <c r="I15" s="11">
        <v>400</v>
      </c>
      <c r="J15" s="11">
        <v>190</v>
      </c>
      <c r="K15" s="11">
        <v>350</v>
      </c>
    </row>
    <row r="16" spans="1:11" ht="13.65" customHeight="1" x14ac:dyDescent="0.25">
      <c r="A16" s="12" t="s">
        <v>30</v>
      </c>
      <c r="B16" s="11">
        <v>200</v>
      </c>
      <c r="C16" s="11">
        <v>650</v>
      </c>
      <c r="D16" s="46">
        <v>220</v>
      </c>
      <c r="E16" s="11">
        <v>140</v>
      </c>
      <c r="F16" s="11">
        <v>310</v>
      </c>
      <c r="G16" s="11">
        <v>150</v>
      </c>
      <c r="H16" s="11">
        <v>100</v>
      </c>
      <c r="I16" s="11">
        <v>110</v>
      </c>
      <c r="J16" s="11">
        <v>120</v>
      </c>
      <c r="K16" s="11">
        <v>140</v>
      </c>
    </row>
    <row r="17" spans="1:11" ht="14.7" customHeight="1" x14ac:dyDescent="0.25">
      <c r="A17" s="12" t="s">
        <v>31</v>
      </c>
      <c r="B17" s="11">
        <v>150</v>
      </c>
      <c r="C17" s="11">
        <v>110</v>
      </c>
      <c r="D17" s="46">
        <v>160</v>
      </c>
      <c r="E17" s="11">
        <v>95</v>
      </c>
      <c r="F17" s="11">
        <v>120</v>
      </c>
      <c r="G17" s="11">
        <v>170</v>
      </c>
      <c r="H17" s="11">
        <v>130</v>
      </c>
      <c r="I17" s="11">
        <v>190</v>
      </c>
      <c r="J17" s="11">
        <v>160</v>
      </c>
      <c r="K17" s="11">
        <v>110</v>
      </c>
    </row>
    <row r="18" spans="1:11" ht="13.35" customHeight="1" x14ac:dyDescent="0.25">
      <c r="A18" s="12" t="s">
        <v>32</v>
      </c>
      <c r="B18" s="11">
        <v>120</v>
      </c>
      <c r="C18" s="11">
        <v>95</v>
      </c>
      <c r="D18" s="46">
        <v>100</v>
      </c>
      <c r="E18" s="11">
        <v>150</v>
      </c>
      <c r="F18" s="11">
        <v>140</v>
      </c>
      <c r="G18" s="11">
        <v>30</v>
      </c>
      <c r="H18" s="11">
        <v>35</v>
      </c>
      <c r="I18" s="11">
        <v>50</v>
      </c>
      <c r="J18" s="11">
        <v>60</v>
      </c>
      <c r="K18" s="11">
        <v>65</v>
      </c>
    </row>
    <row r="19" spans="1:11" ht="14.25" customHeight="1" x14ac:dyDescent="0.25">
      <c r="A19" s="12" t="s">
        <v>33</v>
      </c>
      <c r="B19" s="11">
        <v>24</v>
      </c>
      <c r="C19" s="11">
        <v>50</v>
      </c>
      <c r="D19" s="46">
        <v>60</v>
      </c>
      <c r="E19" s="11">
        <v>40</v>
      </c>
      <c r="F19" s="11">
        <v>45</v>
      </c>
      <c r="G19" s="11">
        <v>395</v>
      </c>
      <c r="H19" s="11">
        <v>400</v>
      </c>
      <c r="I19" s="11">
        <v>505</v>
      </c>
      <c r="J19" s="11">
        <v>500</v>
      </c>
      <c r="K19" s="11">
        <v>470</v>
      </c>
    </row>
    <row r="20" spans="1:11" ht="13.8" x14ac:dyDescent="0.3">
      <c r="A20" s="12" t="s">
        <v>34</v>
      </c>
      <c r="B20" s="13">
        <v>15</v>
      </c>
      <c r="C20" s="10">
        <v>12</v>
      </c>
      <c r="D20" s="45">
        <v>18</v>
      </c>
      <c r="E20" s="10">
        <v>20</v>
      </c>
      <c r="F20" s="10">
        <v>16</v>
      </c>
      <c r="G20" s="10">
        <v>14</v>
      </c>
      <c r="H20" s="10">
        <v>13</v>
      </c>
      <c r="I20" s="10">
        <v>15</v>
      </c>
      <c r="J20" s="10">
        <v>17</v>
      </c>
      <c r="K20" s="10">
        <v>18</v>
      </c>
    </row>
    <row r="21" spans="1:11" ht="15.6" x14ac:dyDescent="0.25">
      <c r="A21" s="14" t="s">
        <v>9</v>
      </c>
      <c r="B21" s="15"/>
      <c r="C21" s="16"/>
      <c r="D21" s="16"/>
      <c r="E21" s="16"/>
      <c r="F21" s="16"/>
      <c r="G21" s="16"/>
      <c r="H21" s="16"/>
      <c r="I21" s="16"/>
      <c r="J21" s="16"/>
      <c r="K21" s="16"/>
    </row>
    <row r="22" spans="1:11" ht="13.8" x14ac:dyDescent="0.3">
      <c r="A22" s="31" t="s">
        <v>35</v>
      </c>
      <c r="B22" s="24"/>
      <c r="C22" s="24"/>
      <c r="D22" s="47">
        <f>D5*D4+D6*D7*D4+D18*1000</f>
        <v>21210400</v>
      </c>
      <c r="E22" s="24"/>
      <c r="F22" s="24"/>
      <c r="G22" s="24"/>
      <c r="H22" s="24"/>
      <c r="I22" s="24"/>
      <c r="J22" s="24"/>
      <c r="K22" s="24"/>
    </row>
    <row r="23" spans="1:11" ht="13.8" x14ac:dyDescent="0.3">
      <c r="A23" s="32" t="s">
        <v>36</v>
      </c>
      <c r="B23" s="25"/>
      <c r="C23" s="25"/>
      <c r="D23" s="25">
        <f>(D8*D4)+D9*1000</f>
        <v>6540000</v>
      </c>
      <c r="E23" s="25"/>
      <c r="F23" s="25"/>
      <c r="G23" s="25"/>
      <c r="H23" s="25"/>
      <c r="I23" s="25"/>
      <c r="J23" s="25"/>
      <c r="K23" s="25"/>
    </row>
    <row r="24" spans="1:11" ht="13.8" x14ac:dyDescent="0.3">
      <c r="A24" s="32" t="s">
        <v>37</v>
      </c>
      <c r="B24" s="25"/>
      <c r="C24" s="25"/>
      <c r="D24" s="25">
        <f>D23*0.34</f>
        <v>2223600</v>
      </c>
      <c r="E24" s="25"/>
      <c r="F24" s="25"/>
      <c r="G24" s="25"/>
      <c r="H24" s="25"/>
      <c r="I24" s="25"/>
      <c r="J24" s="25"/>
      <c r="K24" s="25"/>
    </row>
    <row r="25" spans="1:11" ht="13.8" x14ac:dyDescent="0.3">
      <c r="A25" s="32" t="s">
        <v>38</v>
      </c>
      <c r="B25" s="25"/>
      <c r="C25" s="25"/>
      <c r="D25" s="25">
        <f>((D10+D11)*D12/100)*1000</f>
        <v>2033600</v>
      </c>
      <c r="E25" s="25"/>
      <c r="F25" s="25"/>
      <c r="G25" s="25"/>
      <c r="H25" s="25"/>
      <c r="I25" s="25"/>
      <c r="J25" s="25"/>
      <c r="K25" s="25"/>
    </row>
    <row r="26" spans="1:11" ht="13.8" x14ac:dyDescent="0.3">
      <c r="A26" s="32" t="s">
        <v>39</v>
      </c>
      <c r="B26" s="25"/>
      <c r="C26" s="25"/>
      <c r="D26" s="25">
        <f>(D13+D14+D15+D16+D17+D19)*1000</f>
        <v>8290000</v>
      </c>
      <c r="E26" s="25"/>
      <c r="F26" s="25"/>
      <c r="G26" s="25"/>
      <c r="H26" s="25"/>
      <c r="I26" s="25"/>
      <c r="J26" s="25"/>
      <c r="K26" s="25"/>
    </row>
    <row r="27" spans="1:11" ht="13.8" x14ac:dyDescent="0.3">
      <c r="A27" s="33" t="s">
        <v>4</v>
      </c>
      <c r="B27" s="26"/>
      <c r="C27" s="26"/>
      <c r="D27" s="26">
        <f>SUM(D22:D26)</f>
        <v>40297600</v>
      </c>
      <c r="E27" s="26"/>
      <c r="F27" s="26"/>
      <c r="G27" s="26"/>
      <c r="H27" s="26"/>
      <c r="I27" s="26"/>
      <c r="J27" s="26"/>
      <c r="K27" s="26"/>
    </row>
    <row r="28" spans="1:11" ht="13.8" x14ac:dyDescent="0.3">
      <c r="A28" s="33" t="s">
        <v>20</v>
      </c>
      <c r="B28" s="27"/>
      <c r="C28" s="27"/>
      <c r="D28" s="49">
        <f>D27/D4</f>
        <v>559.68888888888887</v>
      </c>
      <c r="E28" s="27"/>
      <c r="F28" s="27"/>
      <c r="G28" s="27"/>
      <c r="H28" s="27"/>
      <c r="I28" s="27"/>
      <c r="J28" s="27"/>
      <c r="K28" s="27"/>
    </row>
    <row r="29" spans="1:11" ht="13.8" x14ac:dyDescent="0.3">
      <c r="A29" s="34" t="s">
        <v>21</v>
      </c>
      <c r="B29" s="28"/>
      <c r="C29" s="28"/>
      <c r="D29" s="48">
        <f>D28*D20/100+D28</f>
        <v>660.4328888888889</v>
      </c>
      <c r="E29" s="28"/>
      <c r="F29" s="28"/>
      <c r="G29" s="28"/>
      <c r="H29" s="28"/>
      <c r="I29" s="28"/>
      <c r="J29" s="28"/>
      <c r="K29" s="28"/>
    </row>
    <row r="30" spans="1:11" ht="27.6" x14ac:dyDescent="0.3">
      <c r="A30" s="35" t="s">
        <v>40</v>
      </c>
      <c r="B30" s="29"/>
      <c r="C30" s="29"/>
      <c r="D30" s="29">
        <f>D9*1.34+D10*D12/100+D14+D15+D16+D19</f>
        <v>2647.2</v>
      </c>
      <c r="E30" s="29"/>
      <c r="F30" s="29"/>
      <c r="G30" s="29"/>
      <c r="H30" s="29"/>
      <c r="I30" s="29"/>
      <c r="J30" s="29"/>
      <c r="K30" s="29"/>
    </row>
    <row r="31" spans="1:11" ht="15.45" customHeight="1" x14ac:dyDescent="0.3">
      <c r="A31" s="35" t="s">
        <v>22</v>
      </c>
      <c r="B31" s="29"/>
      <c r="C31" s="29"/>
      <c r="D31" s="29">
        <f>(D27-D30*1000)/D4</f>
        <v>522.92222222222222</v>
      </c>
      <c r="E31" s="29"/>
      <c r="F31" s="29"/>
      <c r="G31" s="29"/>
      <c r="H31" s="29"/>
      <c r="I31" s="29"/>
      <c r="J31" s="29"/>
      <c r="K31" s="29"/>
    </row>
    <row r="32" spans="1:11" ht="15.6" x14ac:dyDescent="0.3">
      <c r="A32" s="18" t="s">
        <v>23</v>
      </c>
      <c r="B32" s="19"/>
      <c r="C32" s="19"/>
      <c r="D32" s="19">
        <f>D30*1000/(D29-D31)</f>
        <v>19250.870235521121</v>
      </c>
      <c r="E32" s="19"/>
      <c r="F32" s="19"/>
      <c r="G32" s="19"/>
      <c r="H32" s="19"/>
      <c r="I32" s="19"/>
      <c r="J32" s="19"/>
      <c r="K32" s="19"/>
    </row>
    <row r="33" spans="1:12" ht="15.6" x14ac:dyDescent="0.25">
      <c r="A33" s="20" t="s">
        <v>24</v>
      </c>
      <c r="B33" s="21"/>
      <c r="C33" s="21"/>
      <c r="D33" s="21"/>
      <c r="E33" s="21"/>
      <c r="F33" s="21"/>
      <c r="G33" s="21"/>
      <c r="H33" s="21"/>
      <c r="I33" s="21"/>
      <c r="J33" s="21"/>
      <c r="K33" s="21"/>
    </row>
    <row r="34" spans="1:12" ht="13.8" x14ac:dyDescent="0.25">
      <c r="A34" s="32" t="s">
        <v>11</v>
      </c>
      <c r="B34" s="22"/>
      <c r="C34" s="22"/>
      <c r="D34" s="50">
        <f>(D22/$D$27*100)</f>
        <v>52.634400063527352</v>
      </c>
      <c r="E34" s="22"/>
      <c r="F34" s="22"/>
      <c r="G34" s="22"/>
      <c r="H34" s="22"/>
      <c r="I34" s="22"/>
      <c r="J34" s="22"/>
      <c r="K34" s="22"/>
    </row>
    <row r="35" spans="1:12" ht="13.8" x14ac:dyDescent="0.3">
      <c r="A35" s="32" t="s">
        <v>12</v>
      </c>
      <c r="B35" s="23"/>
      <c r="C35" s="23"/>
      <c r="D35" s="50">
        <f t="shared" ref="D35:D38" si="0">(D23/$D$27*100)</f>
        <v>16.229254347653459</v>
      </c>
      <c r="E35" s="23"/>
      <c r="F35" s="23"/>
      <c r="G35" s="23"/>
      <c r="H35" s="23"/>
      <c r="I35" s="23"/>
      <c r="J35" s="23"/>
      <c r="K35" s="23"/>
    </row>
    <row r="36" spans="1:12" ht="13.8" x14ac:dyDescent="0.3">
      <c r="A36" s="32" t="s">
        <v>10</v>
      </c>
      <c r="B36" s="23"/>
      <c r="C36" s="23"/>
      <c r="D36" s="50">
        <f t="shared" si="0"/>
        <v>5.5179464782021759</v>
      </c>
      <c r="E36" s="23"/>
      <c r="F36" s="23"/>
      <c r="G36" s="23"/>
      <c r="H36" s="23"/>
      <c r="I36" s="23"/>
      <c r="J36" s="23"/>
      <c r="K36" s="23"/>
    </row>
    <row r="37" spans="1:12" ht="13.8" x14ac:dyDescent="0.3">
      <c r="A37" s="32" t="s">
        <v>13</v>
      </c>
      <c r="B37" s="23"/>
      <c r="C37" s="23"/>
      <c r="D37" s="50">
        <f t="shared" si="0"/>
        <v>5.0464543794171366</v>
      </c>
      <c r="E37" s="23"/>
      <c r="F37" s="23"/>
      <c r="G37" s="23"/>
      <c r="H37" s="23"/>
      <c r="I37" s="23"/>
      <c r="J37" s="23"/>
      <c r="K37" s="23"/>
    </row>
    <row r="38" spans="1:12" ht="13.8" x14ac:dyDescent="0.3">
      <c r="A38" s="32" t="s">
        <v>14</v>
      </c>
      <c r="B38" s="23"/>
      <c r="C38" s="23"/>
      <c r="D38" s="50">
        <f t="shared" si="0"/>
        <v>20.571944731199874</v>
      </c>
      <c r="E38" s="23"/>
      <c r="F38" s="23"/>
      <c r="G38" s="23"/>
      <c r="H38" s="23"/>
      <c r="I38" s="23"/>
      <c r="J38" s="23"/>
      <c r="K38" s="23"/>
    </row>
    <row r="39" spans="1:12" ht="13.8" x14ac:dyDescent="0.3">
      <c r="A39" s="17" t="s">
        <v>15</v>
      </c>
      <c r="B39" s="30"/>
      <c r="C39" s="30"/>
      <c r="D39" s="51">
        <f>SUM(D34:D38)</f>
        <v>100.00000000000001</v>
      </c>
      <c r="E39" s="30"/>
      <c r="F39" s="30"/>
      <c r="G39" s="30"/>
      <c r="H39" s="30"/>
      <c r="I39" s="30"/>
      <c r="J39" s="30"/>
      <c r="K39" s="30"/>
    </row>
    <row r="40" spans="1:12" ht="15.6" x14ac:dyDescent="0.25">
      <c r="A40" s="44" t="s">
        <v>64</v>
      </c>
      <c r="B40" s="43"/>
      <c r="C40" s="43"/>
      <c r="D40" s="43"/>
      <c r="E40" s="43"/>
      <c r="F40" s="43"/>
      <c r="G40" s="43"/>
      <c r="H40" s="43"/>
      <c r="I40" s="43"/>
      <c r="J40" s="43"/>
      <c r="K40" s="43"/>
    </row>
    <row r="41" spans="1:12" ht="15.6" x14ac:dyDescent="0.25">
      <c r="A41" s="44" t="s">
        <v>65</v>
      </c>
      <c r="B41" s="43"/>
      <c r="C41" s="43"/>
      <c r="D41" s="43"/>
      <c r="E41" s="43"/>
      <c r="F41" s="43"/>
      <c r="G41" s="43"/>
      <c r="H41" s="43"/>
      <c r="I41" s="43"/>
      <c r="J41" s="43"/>
      <c r="K41" s="43"/>
    </row>
    <row r="45" spans="1:12" ht="22.8" customHeight="1" x14ac:dyDescent="0.25">
      <c r="D45" s="57" t="s">
        <v>66</v>
      </c>
      <c r="E45" s="58">
        <f>D30</f>
        <v>2647.2</v>
      </c>
      <c r="G45" s="54"/>
      <c r="H45" s="54"/>
      <c r="I45" s="54"/>
      <c r="J45" s="54"/>
      <c r="K45" s="54"/>
      <c r="L45" s="54"/>
    </row>
    <row r="46" spans="1:12" x14ac:dyDescent="0.25">
      <c r="D46" s="57" t="s">
        <v>68</v>
      </c>
      <c r="E46" s="58">
        <f>D31</f>
        <v>522.92222222222222</v>
      </c>
      <c r="H46" s="52"/>
      <c r="I46" s="52"/>
      <c r="J46" s="52"/>
      <c r="L46" s="52"/>
    </row>
    <row r="47" spans="1:12" x14ac:dyDescent="0.25">
      <c r="D47" s="57" t="s">
        <v>67</v>
      </c>
      <c r="E47" s="59">
        <f>D32</f>
        <v>19250.870235521121</v>
      </c>
      <c r="H47" s="52"/>
      <c r="I47" s="52"/>
      <c r="J47" s="52"/>
      <c r="L47" s="52"/>
    </row>
    <row r="48" spans="1:12" x14ac:dyDescent="0.25">
      <c r="D48" s="57" t="s">
        <v>69</v>
      </c>
      <c r="E48" s="60">
        <f>D29</f>
        <v>660.4328888888889</v>
      </c>
      <c r="G48" s="53"/>
      <c r="H48" s="52"/>
      <c r="I48" s="52"/>
      <c r="J48" s="52"/>
      <c r="L48" s="52"/>
    </row>
    <row r="49" spans="4:12" x14ac:dyDescent="0.25">
      <c r="D49" s="57" t="s">
        <v>70</v>
      </c>
      <c r="E49" s="57">
        <f>D4</f>
        <v>72000</v>
      </c>
      <c r="H49" s="52"/>
      <c r="I49" s="55"/>
      <c r="J49" s="55"/>
      <c r="K49" s="56"/>
      <c r="L49" s="55"/>
    </row>
    <row r="50" spans="4:12" x14ac:dyDescent="0.25">
      <c r="H50" s="52"/>
      <c r="I50" s="52"/>
      <c r="J50" s="52"/>
      <c r="L50" s="52"/>
    </row>
    <row r="51" spans="4:12" x14ac:dyDescent="0.25">
      <c r="H51" s="52"/>
      <c r="I51" s="52"/>
      <c r="J51" s="52"/>
      <c r="L51" s="52"/>
    </row>
    <row r="52" spans="4:12" x14ac:dyDescent="0.25">
      <c r="H52" s="52"/>
      <c r="I52" s="52"/>
      <c r="J52" s="52"/>
      <c r="L52" s="52"/>
    </row>
    <row r="53" spans="4:12" x14ac:dyDescent="0.25">
      <c r="G53" s="53"/>
      <c r="H53" s="52"/>
      <c r="I53" s="52"/>
      <c r="J53" s="52"/>
      <c r="L53" s="52"/>
    </row>
    <row r="54" spans="4:12" x14ac:dyDescent="0.25">
      <c r="H54" s="52"/>
      <c r="I54" s="52"/>
      <c r="J54" s="52"/>
      <c r="L54" s="52"/>
    </row>
    <row r="55" spans="4:12" x14ac:dyDescent="0.25">
      <c r="H55" s="52"/>
      <c r="I55" s="52"/>
      <c r="J55" s="52"/>
      <c r="L55" s="52"/>
    </row>
    <row r="56" spans="4:12" x14ac:dyDescent="0.25">
      <c r="H56" s="52"/>
      <c r="I56" s="52"/>
      <c r="J56" s="52"/>
      <c r="L56" s="52"/>
    </row>
    <row r="57" spans="4:12" x14ac:dyDescent="0.25">
      <c r="H57" s="52"/>
      <c r="I57" s="55"/>
      <c r="J57" s="55"/>
      <c r="K57" s="56"/>
      <c r="L57" s="55"/>
    </row>
    <row r="58" spans="4:12" x14ac:dyDescent="0.25">
      <c r="H58" s="52"/>
    </row>
    <row r="59" spans="4:12" x14ac:dyDescent="0.25">
      <c r="H59" s="52"/>
    </row>
    <row r="60" spans="4:12" x14ac:dyDescent="0.25">
      <c r="H60" s="52"/>
    </row>
    <row r="66" spans="3:8" ht="52.8" x14ac:dyDescent="0.25">
      <c r="C66" s="61" t="s">
        <v>71</v>
      </c>
      <c r="D66" s="61" t="s">
        <v>72</v>
      </c>
      <c r="E66" s="61" t="s">
        <v>73</v>
      </c>
      <c r="F66" s="61" t="s">
        <v>74</v>
      </c>
      <c r="G66" s="61" t="s">
        <v>75</v>
      </c>
      <c r="H66" s="61" t="s">
        <v>76</v>
      </c>
    </row>
    <row r="67" spans="3:8" x14ac:dyDescent="0.25">
      <c r="C67" s="57">
        <v>10000</v>
      </c>
      <c r="D67" s="58">
        <f t="shared" ref="D67:D81" si="1">$E$45</f>
        <v>2647.2</v>
      </c>
      <c r="E67" s="58">
        <f>$E$46*C67/1000</f>
        <v>5229.2222222222217</v>
      </c>
      <c r="F67" s="58">
        <f>D67+E67</f>
        <v>7876.4222222222215</v>
      </c>
      <c r="G67" s="57">
        <f>$E$48*C67/1000</f>
        <v>6604.3288888888892</v>
      </c>
      <c r="H67" s="58">
        <f>G67-F67</f>
        <v>-1272.0933333333323</v>
      </c>
    </row>
    <row r="68" spans="3:8" x14ac:dyDescent="0.25">
      <c r="C68" s="57">
        <v>15000</v>
      </c>
      <c r="D68" s="58">
        <f t="shared" si="1"/>
        <v>2647.2</v>
      </c>
      <c r="E68" s="58">
        <f t="shared" ref="E68:E81" si="2">$E$46*C68/1000</f>
        <v>7843.833333333333</v>
      </c>
      <c r="F68" s="58">
        <f t="shared" ref="F68:F81" si="3">D68+E68</f>
        <v>10491.033333333333</v>
      </c>
      <c r="G68" s="57">
        <f t="shared" ref="G68:G81" si="4">$E$48*C68/1000</f>
        <v>9906.4933333333338</v>
      </c>
      <c r="H68" s="58">
        <f t="shared" ref="H68:H81" si="5">G68-F68</f>
        <v>-584.53999999999905</v>
      </c>
    </row>
    <row r="69" spans="3:8" x14ac:dyDescent="0.25">
      <c r="C69" s="62">
        <f>E47</f>
        <v>19250.870235521121</v>
      </c>
      <c r="D69" s="63">
        <f>$E$45</f>
        <v>2647.2</v>
      </c>
      <c r="E69" s="63">
        <f t="shared" si="2"/>
        <v>10066.707843270338</v>
      </c>
      <c r="F69" s="63">
        <f t="shared" si="3"/>
        <v>12713.907843270339</v>
      </c>
      <c r="G69" s="64">
        <f t="shared" si="4"/>
        <v>12713.907843270339</v>
      </c>
      <c r="H69" s="63">
        <f t="shared" si="5"/>
        <v>0</v>
      </c>
    </row>
    <row r="70" spans="3:8" x14ac:dyDescent="0.25">
      <c r="C70" s="57">
        <v>20000</v>
      </c>
      <c r="D70" s="58">
        <f t="shared" si="1"/>
        <v>2647.2</v>
      </c>
      <c r="E70" s="58">
        <f t="shared" si="2"/>
        <v>10458.444444444443</v>
      </c>
      <c r="F70" s="58">
        <f t="shared" si="3"/>
        <v>13105.644444444442</v>
      </c>
      <c r="G70" s="57">
        <f t="shared" si="4"/>
        <v>13208.657777777778</v>
      </c>
      <c r="H70" s="58">
        <f t="shared" si="5"/>
        <v>103.01333333333605</v>
      </c>
    </row>
    <row r="71" spans="3:8" x14ac:dyDescent="0.25">
      <c r="C71" s="57">
        <v>25000</v>
      </c>
      <c r="D71" s="58">
        <f t="shared" si="1"/>
        <v>2647.2</v>
      </c>
      <c r="E71" s="58">
        <f t="shared" si="2"/>
        <v>13073.055555555557</v>
      </c>
      <c r="F71" s="58">
        <f t="shared" si="3"/>
        <v>15720.255555555555</v>
      </c>
      <c r="G71" s="57">
        <f t="shared" si="4"/>
        <v>16510.822222222221</v>
      </c>
      <c r="H71" s="58">
        <f t="shared" si="5"/>
        <v>790.5666666666657</v>
      </c>
    </row>
    <row r="72" spans="3:8" x14ac:dyDescent="0.25">
      <c r="C72" s="57">
        <v>30000</v>
      </c>
      <c r="D72" s="58">
        <f t="shared" si="1"/>
        <v>2647.2</v>
      </c>
      <c r="E72" s="58">
        <f t="shared" si="2"/>
        <v>15687.666666666666</v>
      </c>
      <c r="F72" s="58">
        <f t="shared" si="3"/>
        <v>18334.866666666665</v>
      </c>
      <c r="G72" s="57">
        <f t="shared" si="4"/>
        <v>19812.986666666668</v>
      </c>
      <c r="H72" s="58">
        <f t="shared" si="5"/>
        <v>1478.1200000000026</v>
      </c>
    </row>
    <row r="73" spans="3:8" x14ac:dyDescent="0.25">
      <c r="C73" s="57">
        <v>35000</v>
      </c>
      <c r="D73" s="58">
        <f t="shared" si="1"/>
        <v>2647.2</v>
      </c>
      <c r="E73" s="58">
        <f t="shared" si="2"/>
        <v>18302.277777777777</v>
      </c>
      <c r="F73" s="58">
        <f t="shared" si="3"/>
        <v>20949.477777777778</v>
      </c>
      <c r="G73" s="57">
        <f t="shared" si="4"/>
        <v>23115.15111111111</v>
      </c>
      <c r="H73" s="58">
        <f t="shared" si="5"/>
        <v>2165.6733333333323</v>
      </c>
    </row>
    <row r="74" spans="3:8" x14ac:dyDescent="0.25">
      <c r="C74" s="59">
        <v>40000</v>
      </c>
      <c r="D74" s="58">
        <f t="shared" si="1"/>
        <v>2647.2</v>
      </c>
      <c r="E74" s="58">
        <f t="shared" si="2"/>
        <v>20916.888888888887</v>
      </c>
      <c r="F74" s="58">
        <f t="shared" si="3"/>
        <v>23564.088888888888</v>
      </c>
      <c r="G74" s="57">
        <f t="shared" si="4"/>
        <v>26417.315555555557</v>
      </c>
      <c r="H74" s="58">
        <f t="shared" si="5"/>
        <v>2853.2266666666692</v>
      </c>
    </row>
    <row r="75" spans="3:8" x14ac:dyDescent="0.25">
      <c r="C75" s="57">
        <v>45000</v>
      </c>
      <c r="D75" s="58">
        <f t="shared" si="1"/>
        <v>2647.2</v>
      </c>
      <c r="E75" s="58">
        <f t="shared" si="2"/>
        <v>23531.5</v>
      </c>
      <c r="F75" s="58">
        <f t="shared" si="3"/>
        <v>26178.7</v>
      </c>
      <c r="G75" s="57">
        <f t="shared" si="4"/>
        <v>29719.48</v>
      </c>
      <c r="H75" s="58">
        <f t="shared" si="5"/>
        <v>3540.7799999999988</v>
      </c>
    </row>
    <row r="76" spans="3:8" x14ac:dyDescent="0.25">
      <c r="C76" s="57">
        <v>50000</v>
      </c>
      <c r="D76" s="58">
        <f t="shared" si="1"/>
        <v>2647.2</v>
      </c>
      <c r="E76" s="58">
        <f t="shared" si="2"/>
        <v>26146.111111111113</v>
      </c>
      <c r="F76" s="58">
        <f t="shared" si="3"/>
        <v>28793.311111111114</v>
      </c>
      <c r="G76" s="57">
        <f t="shared" si="4"/>
        <v>33021.644444444442</v>
      </c>
      <c r="H76" s="58">
        <f t="shared" si="5"/>
        <v>4228.3333333333285</v>
      </c>
    </row>
    <row r="77" spans="3:8" x14ac:dyDescent="0.25">
      <c r="C77" s="57">
        <v>55000</v>
      </c>
      <c r="D77" s="58">
        <f t="shared" si="1"/>
        <v>2647.2</v>
      </c>
      <c r="E77" s="58">
        <f t="shared" si="2"/>
        <v>28760.722222222219</v>
      </c>
      <c r="F77" s="58">
        <f t="shared" si="3"/>
        <v>31407.92222222222</v>
      </c>
      <c r="G77" s="57">
        <f t="shared" si="4"/>
        <v>36323.808888888889</v>
      </c>
      <c r="H77" s="58">
        <f t="shared" si="5"/>
        <v>4915.886666666669</v>
      </c>
    </row>
    <row r="78" spans="3:8" x14ac:dyDescent="0.25">
      <c r="C78" s="57">
        <v>60000</v>
      </c>
      <c r="D78" s="58">
        <f t="shared" si="1"/>
        <v>2647.2</v>
      </c>
      <c r="E78" s="58">
        <f t="shared" si="2"/>
        <v>31375.333333333332</v>
      </c>
      <c r="F78" s="58">
        <f t="shared" si="3"/>
        <v>34022.533333333333</v>
      </c>
      <c r="G78" s="57">
        <f t="shared" si="4"/>
        <v>39625.973333333335</v>
      </c>
      <c r="H78" s="58">
        <f t="shared" si="5"/>
        <v>5603.4400000000023</v>
      </c>
    </row>
    <row r="79" spans="3:8" x14ac:dyDescent="0.25">
      <c r="C79" s="57">
        <v>65000</v>
      </c>
      <c r="D79" s="58">
        <f t="shared" si="1"/>
        <v>2647.2</v>
      </c>
      <c r="E79" s="58">
        <f t="shared" si="2"/>
        <v>33989.944444444445</v>
      </c>
      <c r="F79" s="58">
        <f t="shared" si="3"/>
        <v>36637.144444444442</v>
      </c>
      <c r="G79" s="57">
        <f t="shared" si="4"/>
        <v>42928.137777777774</v>
      </c>
      <c r="H79" s="58">
        <f t="shared" si="5"/>
        <v>6290.993333333332</v>
      </c>
    </row>
    <row r="80" spans="3:8" x14ac:dyDescent="0.25">
      <c r="C80" s="57">
        <v>70000</v>
      </c>
      <c r="D80" s="58">
        <f t="shared" si="1"/>
        <v>2647.2</v>
      </c>
      <c r="E80" s="58">
        <f t="shared" si="2"/>
        <v>36604.555555555555</v>
      </c>
      <c r="F80" s="58">
        <f t="shared" si="3"/>
        <v>39251.755555555552</v>
      </c>
      <c r="G80" s="57">
        <f t="shared" si="4"/>
        <v>46230.302222222221</v>
      </c>
      <c r="H80" s="58">
        <f t="shared" si="5"/>
        <v>6978.5466666666689</v>
      </c>
    </row>
    <row r="81" spans="3:8" x14ac:dyDescent="0.25">
      <c r="C81" s="64">
        <f>E49</f>
        <v>72000</v>
      </c>
      <c r="D81" s="63">
        <f t="shared" si="1"/>
        <v>2647.2</v>
      </c>
      <c r="E81" s="63">
        <f t="shared" si="2"/>
        <v>37650.400000000001</v>
      </c>
      <c r="F81" s="63">
        <f t="shared" si="3"/>
        <v>40297.599999999999</v>
      </c>
      <c r="G81" s="64">
        <f t="shared" si="4"/>
        <v>47551.167999999998</v>
      </c>
      <c r="H81" s="63">
        <f t="shared" si="5"/>
        <v>7253.5679999999993</v>
      </c>
    </row>
  </sheetData>
  <mergeCells count="3">
    <mergeCell ref="A2:A3"/>
    <mergeCell ref="B2:K2"/>
    <mergeCell ref="A1:K1"/>
  </mergeCells>
  <phoneticPr fontId="1" type="noConversion"/>
  <pageMargins left="0.75" right="0.75" top="1" bottom="1" header="0.5" footer="0.5"/>
  <pageSetup paperSize="9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9"/>
  <sheetViews>
    <sheetView topLeftCell="A16" zoomScale="85" zoomScaleNormal="85" workbookViewId="0">
      <selection activeCell="A29" sqref="A29"/>
    </sheetView>
  </sheetViews>
  <sheetFormatPr defaultRowHeight="15.6" x14ac:dyDescent="0.3"/>
  <cols>
    <col min="1" max="1" width="102.21875" style="7" customWidth="1"/>
  </cols>
  <sheetData>
    <row r="1" spans="1:8" ht="18" x14ac:dyDescent="0.25">
      <c r="A1" s="2" t="s">
        <v>5</v>
      </c>
      <c r="B1" s="3"/>
      <c r="C1" s="3"/>
      <c r="D1" s="3"/>
      <c r="E1" s="3"/>
      <c r="F1" s="3"/>
      <c r="G1" s="3"/>
      <c r="H1" s="3"/>
    </row>
    <row r="2" spans="1:8" ht="36.6" customHeight="1" x14ac:dyDescent="0.25">
      <c r="A2" s="37" t="s">
        <v>42</v>
      </c>
    </row>
    <row r="3" spans="1:8" ht="31.2" x14ac:dyDescent="0.3">
      <c r="A3" s="36" t="s">
        <v>25</v>
      </c>
    </row>
    <row r="4" spans="1:8" ht="31.2" x14ac:dyDescent="0.3">
      <c r="A4" s="36" t="s">
        <v>41</v>
      </c>
    </row>
    <row r="5" spans="1:8" x14ac:dyDescent="0.3">
      <c r="A5" s="36" t="s">
        <v>43</v>
      </c>
    </row>
    <row r="6" spans="1:8" ht="31.2" x14ac:dyDescent="0.3">
      <c r="A6" s="36" t="s">
        <v>46</v>
      </c>
    </row>
    <row r="7" spans="1:8" ht="62.4" x14ac:dyDescent="0.3">
      <c r="A7" s="36" t="s">
        <v>47</v>
      </c>
    </row>
    <row r="8" spans="1:8" ht="31.2" x14ac:dyDescent="0.25">
      <c r="A8" s="37" t="s">
        <v>48</v>
      </c>
    </row>
    <row r="9" spans="1:8" x14ac:dyDescent="0.25">
      <c r="A9" s="4"/>
    </row>
    <row r="10" spans="1:8" x14ac:dyDescent="0.25">
      <c r="A10" s="37" t="s">
        <v>49</v>
      </c>
    </row>
    <row r="11" spans="1:8" ht="18" x14ac:dyDescent="0.25">
      <c r="A11" s="37" t="s">
        <v>8</v>
      </c>
    </row>
    <row r="12" spans="1:8" ht="36.6" customHeight="1" x14ac:dyDescent="0.25">
      <c r="A12" s="5"/>
    </row>
    <row r="13" spans="1:8" x14ac:dyDescent="0.25">
      <c r="A13" s="38" t="s">
        <v>50</v>
      </c>
    </row>
    <row r="14" spans="1:8" x14ac:dyDescent="0.25">
      <c r="A14" s="38" t="s">
        <v>6</v>
      </c>
    </row>
    <row r="15" spans="1:8" ht="21.6" customHeight="1" x14ac:dyDescent="0.25">
      <c r="A15" s="5"/>
    </row>
    <row r="16" spans="1:8" x14ac:dyDescent="0.25">
      <c r="A16" s="37" t="s">
        <v>51</v>
      </c>
    </row>
    <row r="17" spans="1:1" ht="78.150000000000006" customHeight="1" x14ac:dyDescent="0.25">
      <c r="A17" s="4" t="s">
        <v>56</v>
      </c>
    </row>
    <row r="18" spans="1:1" ht="58.8" customHeight="1" x14ac:dyDescent="0.25">
      <c r="A18" s="4" t="s">
        <v>52</v>
      </c>
    </row>
    <row r="19" spans="1:1" ht="18" x14ac:dyDescent="0.25">
      <c r="A19" s="37" t="s">
        <v>58</v>
      </c>
    </row>
    <row r="20" spans="1:1" x14ac:dyDescent="0.25">
      <c r="A20" s="6" t="s">
        <v>7</v>
      </c>
    </row>
    <row r="21" spans="1:1" ht="24.3" customHeight="1" x14ac:dyDescent="0.25">
      <c r="A21" s="6" t="s">
        <v>53</v>
      </c>
    </row>
    <row r="22" spans="1:1" ht="18" x14ac:dyDescent="0.25">
      <c r="A22" s="4" t="s">
        <v>54</v>
      </c>
    </row>
    <row r="23" spans="1:1" ht="18" x14ac:dyDescent="0.25">
      <c r="A23" s="4" t="s">
        <v>55</v>
      </c>
    </row>
    <row r="24" spans="1:1" ht="46.8" x14ac:dyDescent="0.3">
      <c r="A24" s="39" t="s">
        <v>57</v>
      </c>
    </row>
    <row r="25" spans="1:1" x14ac:dyDescent="0.3">
      <c r="A25" s="40" t="s">
        <v>60</v>
      </c>
    </row>
    <row r="27" spans="1:1" x14ac:dyDescent="0.3">
      <c r="A27" s="40" t="s">
        <v>59</v>
      </c>
    </row>
    <row r="28" spans="1:1" ht="62.4" x14ac:dyDescent="0.25">
      <c r="A28" s="41" t="s">
        <v>61</v>
      </c>
    </row>
    <row r="29" spans="1:1" x14ac:dyDescent="0.3">
      <c r="A29" s="42" t="s">
        <v>62</v>
      </c>
    </row>
  </sheetData>
  <pageMargins left="0.7" right="0.7" top="0.75" bottom="0.75" header="0.3" footer="0.3"/>
  <drawing r:id="rId1"/>
  <legacyDrawing r:id="rId2"/>
  <oleObjects>
    <mc:AlternateContent xmlns:mc="http://schemas.openxmlformats.org/markup-compatibility/2006">
      <mc:Choice Requires="x14">
        <oleObject progId="Equation.3" shapeId="24578" r:id="rId3">
          <objectPr defaultSize="0" autoPict="0" r:id="rId4">
            <anchor moveWithCells="1" sizeWithCells="1">
              <from>
                <xdr:col>0</xdr:col>
                <xdr:colOff>2918460</xdr:colOff>
                <xdr:row>11</xdr:row>
                <xdr:rowOff>30480</xdr:rowOff>
              </from>
              <to>
                <xdr:col>0</xdr:col>
                <xdr:colOff>3497580</xdr:colOff>
                <xdr:row>12</xdr:row>
                <xdr:rowOff>15240</xdr:rowOff>
              </to>
            </anchor>
          </objectPr>
        </oleObject>
      </mc:Choice>
      <mc:Fallback>
        <oleObject progId="Equation.3" shapeId="24578" r:id="rId3"/>
      </mc:Fallback>
    </mc:AlternateContent>
    <mc:AlternateContent xmlns:mc="http://schemas.openxmlformats.org/markup-compatibility/2006">
      <mc:Choice Requires="x14">
        <oleObject progId="Equation.3" shapeId="24577" r:id="rId5">
          <objectPr defaultSize="0" autoPict="0" r:id="rId6">
            <anchor moveWithCells="1" sizeWithCells="1">
              <from>
                <xdr:col>0</xdr:col>
                <xdr:colOff>2788920</xdr:colOff>
                <xdr:row>13</xdr:row>
                <xdr:rowOff>190500</xdr:rowOff>
              </from>
              <to>
                <xdr:col>0</xdr:col>
                <xdr:colOff>3756660</xdr:colOff>
                <xdr:row>15</xdr:row>
                <xdr:rowOff>0</xdr:rowOff>
              </to>
            </anchor>
          </objectPr>
        </oleObject>
      </mc:Choice>
      <mc:Fallback>
        <oleObject progId="Equation.3" shapeId="24577" r:id="rId5"/>
      </mc:Fallback>
    </mc:AlternateContent>
    <mc:AlternateContent xmlns:mc="http://schemas.openxmlformats.org/markup-compatibility/2006">
      <mc:Choice Requires="x14">
        <oleObject progId="Equation.3" shapeId="24579" r:id="rId7">
          <objectPr defaultSize="0" autoPict="0" r:id="rId8">
            <anchor moveWithCells="1" sizeWithCells="1">
              <from>
                <xdr:col>0</xdr:col>
                <xdr:colOff>2682240</xdr:colOff>
                <xdr:row>19</xdr:row>
                <xdr:rowOff>38100</xdr:rowOff>
              </from>
              <to>
                <xdr:col>0</xdr:col>
                <xdr:colOff>3764280</xdr:colOff>
                <xdr:row>21</xdr:row>
                <xdr:rowOff>0</xdr:rowOff>
              </to>
            </anchor>
          </objectPr>
        </oleObject>
      </mc:Choice>
      <mc:Fallback>
        <oleObject progId="Equation.3" shapeId="24579" r:id="rId7"/>
      </mc:Fallback>
    </mc:AlternateContent>
  </oleObjec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topLeftCell="A2" zoomScale="70" zoomScaleNormal="70" workbookViewId="0">
      <selection activeCell="G50" sqref="G50"/>
    </sheetView>
  </sheetViews>
  <sheetFormatPr defaultRowHeight="13.2" x14ac:dyDescent="0.25"/>
  <cols>
    <col min="1" max="1" width="14.5546875" customWidth="1"/>
    <col min="2" max="2" width="11.21875" customWidth="1"/>
    <col min="3" max="3" width="12" customWidth="1"/>
    <col min="4" max="4" width="9" customWidth="1"/>
    <col min="5" max="5" width="13.109375" customWidth="1"/>
    <col min="6" max="6" width="15.77734375" customWidth="1"/>
    <col min="7" max="8" width="18.77734375" customWidth="1"/>
  </cols>
  <sheetData/>
  <pageMargins left="0.7" right="0.7" top="0.75" bottom="0.75" header="0.3" footer="0.3"/>
  <pageSetup paperSize="9"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Исх данные решение</vt:lpstr>
      <vt:lpstr>Порядок работы</vt:lpstr>
      <vt:lpstr>График (пример)</vt:lpstr>
    </vt:vector>
  </TitlesOfParts>
  <Company>BSTU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Бабашинский Глеб</dc:creator>
  <cp:lastModifiedBy>Глеб Бабашинский</cp:lastModifiedBy>
  <cp:lastPrinted>2023-09-21T10:26:08Z</cp:lastPrinted>
  <dcterms:created xsi:type="dcterms:W3CDTF">2006-11-30T08:02:26Z</dcterms:created>
  <dcterms:modified xsi:type="dcterms:W3CDTF">2026-04-23T21:40:54Z</dcterms:modified>
</cp:coreProperties>
</file>