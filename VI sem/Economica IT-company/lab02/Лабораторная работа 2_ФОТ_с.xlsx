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БГТУ\VI сем\Экономика IT компании\lab02\"/>
    </mc:Choice>
  </mc:AlternateContent>
  <xr:revisionPtr revIDLastSave="0" documentId="13_ncr:1_{838AF608-1E18-4323-A8F1-63CD78B503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дание исх данные, решение 1" sheetId="1" r:id="rId1"/>
    <sheet name="Порядок работы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8" i="1" l="1"/>
  <c r="B99" i="1"/>
  <c r="B101" i="1"/>
  <c r="B100" i="1" s="1"/>
  <c r="C82" i="1"/>
  <c r="D82" i="1"/>
  <c r="B82" i="1"/>
  <c r="B77" i="1"/>
  <c r="E60" i="1"/>
  <c r="F60" i="1" s="1"/>
  <c r="B52" i="1"/>
  <c r="G89" i="1"/>
  <c r="G90" i="1"/>
  <c r="G88" i="1"/>
  <c r="F89" i="1"/>
  <c r="F90" i="1"/>
  <c r="F88" i="1"/>
  <c r="E89" i="1"/>
  <c r="E90" i="1"/>
  <c r="E88" i="1"/>
  <c r="D89" i="1"/>
  <c r="D90" i="1"/>
  <c r="D88" i="1"/>
  <c r="D81" i="1"/>
  <c r="C81" i="1"/>
  <c r="B81" i="1"/>
  <c r="G69" i="1"/>
  <c r="G68" i="1"/>
  <c r="F69" i="1"/>
  <c r="F68" i="1"/>
  <c r="E69" i="1"/>
  <c r="E68" i="1"/>
  <c r="G65" i="1"/>
  <c r="G64" i="1"/>
  <c r="F65" i="1"/>
  <c r="F66" i="1" s="1"/>
  <c r="F64" i="1"/>
  <c r="E65" i="1"/>
  <c r="E64" i="1"/>
  <c r="G61" i="1"/>
  <c r="F61" i="1"/>
  <c r="E61" i="1"/>
  <c r="C90" i="1"/>
  <c r="C89" i="1"/>
  <c r="C88" i="1"/>
  <c r="B91" i="1"/>
  <c r="B90" i="1"/>
  <c r="B89" i="1"/>
  <c r="B88" i="1"/>
  <c r="D71" i="1"/>
  <c r="E70" i="1"/>
  <c r="D69" i="1"/>
  <c r="D70" i="1"/>
  <c r="D66" i="1"/>
  <c r="D65" i="1"/>
  <c r="D64" i="1"/>
  <c r="D62" i="1"/>
  <c r="D61" i="1"/>
  <c r="D60" i="1"/>
  <c r="D68" i="1"/>
  <c r="C69" i="1"/>
  <c r="C68" i="1"/>
  <c r="C65" i="1"/>
  <c r="C64" i="1"/>
  <c r="C61" i="1"/>
  <c r="C60" i="1"/>
  <c r="B69" i="1"/>
  <c r="B68" i="1"/>
  <c r="B65" i="1"/>
  <c r="B64" i="1"/>
  <c r="B61" i="1"/>
  <c r="B60" i="1"/>
  <c r="C70" i="1"/>
  <c r="C66" i="1"/>
  <c r="D52" i="1"/>
  <c r="E52" i="1"/>
  <c r="F52" i="1"/>
  <c r="G52" i="1"/>
  <c r="H52" i="1"/>
  <c r="I52" i="1"/>
  <c r="C52" i="1"/>
  <c r="D18" i="1"/>
  <c r="D17" i="1"/>
  <c r="D15" i="1"/>
  <c r="D14" i="1"/>
  <c r="D9" i="1"/>
  <c r="D8" i="1"/>
  <c r="F62" i="1" l="1"/>
  <c r="G60" i="1"/>
  <c r="E91" i="1"/>
  <c r="F70" i="1"/>
  <c r="F71" i="1" s="1"/>
  <c r="G70" i="1"/>
  <c r="D76" i="1" s="1"/>
  <c r="E66" i="1"/>
  <c r="C62" i="1"/>
  <c r="C71" i="1" s="1"/>
  <c r="E62" i="1"/>
  <c r="G62" i="1"/>
  <c r="G91" i="1" l="1"/>
  <c r="F91" i="1"/>
  <c r="D91" i="1"/>
  <c r="D78" i="1"/>
  <c r="D77" i="1"/>
  <c r="G66" i="1"/>
  <c r="C76" i="1" s="1"/>
  <c r="C78" i="1" s="1"/>
  <c r="B76" i="1"/>
  <c r="E71" i="1"/>
  <c r="B96" i="1" s="1"/>
  <c r="D80" i="1" l="1"/>
  <c r="D83" i="1" s="1"/>
  <c r="G71" i="1"/>
  <c r="C77" i="1"/>
  <c r="C80" i="1"/>
  <c r="C83" i="1" s="1"/>
  <c r="B78" i="1"/>
  <c r="B80" i="1" l="1"/>
  <c r="B83" i="1" s="1"/>
  <c r="B95" i="1" s="1"/>
  <c r="B97" i="1" s="1"/>
</calcChain>
</file>

<file path=xl/sharedStrings.xml><?xml version="1.0" encoding="utf-8"?>
<sst xmlns="http://schemas.openxmlformats.org/spreadsheetml/2006/main" count="130" uniqueCount="112">
  <si>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</si>
  <si>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</si>
  <si>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</si>
  <si>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</si>
  <si>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</si>
  <si>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</si>
  <si>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</si>
  <si>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</si>
  <si>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</si>
  <si>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</si>
  <si>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</si>
  <si>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</si>
  <si>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</si>
  <si>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</si>
  <si>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</si>
  <si>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</si>
  <si>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</si>
  <si>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</si>
  <si>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</si>
  <si>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</si>
  <si>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</si>
  <si>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</si>
  <si>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</si>
  <si>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</si>
  <si>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</si>
  <si>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</si>
  <si>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</si>
  <si>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</si>
  <si>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</si>
  <si>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</si>
  <si>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</si>
  <si>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</si>
  <si>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</si>
  <si>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</si>
  <si>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</si>
  <si>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</si>
  <si>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</si>
  <si>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</si>
  <si>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</si>
  <si>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</si>
  <si>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</si>
  <si>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</si>
  <si>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</si>
  <si>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</si>
  <si>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</si>
  <si>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</si>
  <si>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</si>
  <si>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</si>
  <si>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</si>
  <si>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</si>
  <si>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</si>
  <si>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</si>
  <si>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</si>
  <si>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</si>
  <si>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</si>
  <si>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</si>
  <si>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</si>
  <si>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</si>
  <si>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</si>
  <si>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</si>
  <si>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</si>
  <si>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</si>
  <si>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</si>
  <si>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</si>
  <si>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</si>
  <si>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</si>
  <si>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</si>
  <si>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</si>
  <si>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</si>
  <si>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</si>
  <si>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</si>
  <si>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</si>
  <si>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</si>
  <si>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</si>
  <si>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</si>
  <si>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</si>
  <si>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</si>
  <si>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</si>
  <si>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</si>
  <si>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</si>
  <si>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</si>
  <si>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</si>
  <si>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</si>
  <si>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</si>
  <si>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</si>
  <si>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</si>
  <si>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</si>
  <si>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</si>
  <si>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</si>
  <si>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</si>
  <si>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</si>
  <si>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</si>
  <si>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</si>
  <si>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</si>
  <si>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t>Доплаты за вночное время = Годовой тарифный фонд / 3 * 40/101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</si>
  <si>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</si>
  <si>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</si>
  <si>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</si>
  <si>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</si>
  <si>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</si>
  <si>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</si>
  <si>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</si>
  <si>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</si>
  <si>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</si>
  <si>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</si>
  <si>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</si>
  <si>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r>
      <t>9. Эффективный фонд рабочего времени в среднем за месяц, ч (п.8/12</t>
    </r>
    <r>
      <rPr>
        <sz val="12"/>
        <color theme="1"/>
        <rFont val="Calibri"/>
        <family val="2"/>
        <charset val="204"/>
        <scheme val="minor"/>
      </rPr>
      <t>)</t>
    </r>
  </si>
  <si>
    <r>
      <t>3. Номинальный фонд рабочего времени, дней</t>
    </r>
    <r>
      <rPr>
        <sz val="12"/>
        <color theme="0" tint="-4.9989318521683403E-2"/>
        <rFont val="Calibri"/>
        <family val="2"/>
        <charset val="204"/>
        <scheme val="minor"/>
      </rPr>
      <t/>
    </r>
  </si>
  <si>
    <t>5. Эффективный фонд времени в днях</t>
  </si>
  <si>
    <t>8. Эффективный фонд рабочего времени, ч</t>
  </si>
  <si>
    <t>6. Число рабочих часов в году</t>
  </si>
  <si>
    <t xml:space="preserve">Доп. з/п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</si>
</sst>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  <font>
      <sz val="12"/>
      <color theme="0" tint="-4.9989318521683403E-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1" fontId="0" fillId="0" borderId="1" xfId="0" applyNumberForma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166" fontId="6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7" zoomScale="93" zoomScaleNormal="70" workbookViewId="0">
      <selection activeCell="A101" sqref="A101"/>
    </sheetView>
  </sheetViews>
  <sheetFormatPr defaultColWidth="8.77734375" defaultRowHeight="14.4" x14ac:dyDescent="0.3"/>
  <cols>
    <col min="1" max="1" width="59.5546875" customWidth="1"/>
    <col min="2" max="2" width="12.44140625" bestFit="1" customWidth="1"/>
    <col min="3" max="3" width="11" customWidth="1"/>
    <col min="4" max="4" width="10.6640625" customWidth="1"/>
    <col min="5" max="5" width="12.44140625" bestFit="1" customWidth="1"/>
    <col min="6" max="6" width="14" customWidth="1"/>
    <col min="7" max="7" width="11.33203125" customWidth="1"/>
    <col min="8" max="8" width="9.6640625" customWidth="1"/>
    <col min="9" max="9" width="10.21875" customWidth="1"/>
  </cols>
  <sheetData>
    <row r="1" spans="1:11" ht="18" x14ac:dyDescent="0.35">
      <c r="A1" s="1" t="s">
        <v>75</v>
      </c>
    </row>
    <row r="3" spans="1:11" ht="15.6" x14ac:dyDescent="0.3">
      <c r="A3" s="80" t="s">
        <v>8</v>
      </c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5" customHeight="1" x14ac:dyDescent="0.3">
      <c r="A4" s="4" t="s">
        <v>0</v>
      </c>
      <c r="B4" s="83" t="s">
        <v>1</v>
      </c>
      <c r="C4" s="84"/>
      <c r="D4" s="84"/>
      <c r="E4" s="84"/>
      <c r="F4" s="84"/>
      <c r="G4" s="84"/>
      <c r="H4" s="84"/>
      <c r="I4" s="84"/>
      <c r="J4" s="84"/>
      <c r="K4" s="85"/>
    </row>
    <row r="5" spans="1:11" ht="15.6" x14ac:dyDescent="0.35">
      <c r="A5" s="4"/>
      <c r="B5" s="54">
        <v>1</v>
      </c>
      <c r="C5" s="55">
        <v>2</v>
      </c>
      <c r="D5" s="55">
        <v>3</v>
      </c>
      <c r="E5" s="55">
        <v>4</v>
      </c>
      <c r="F5" s="55">
        <v>5</v>
      </c>
      <c r="G5" s="55">
        <v>6</v>
      </c>
      <c r="H5" s="55">
        <v>7</v>
      </c>
      <c r="I5" s="55">
        <v>8</v>
      </c>
      <c r="J5" s="55">
        <v>9</v>
      </c>
      <c r="K5" s="55">
        <v>10</v>
      </c>
    </row>
    <row r="6" spans="1:11" ht="18.75" customHeight="1" x14ac:dyDescent="0.3">
      <c r="A6" s="3" t="s">
        <v>2</v>
      </c>
      <c r="B6" s="6">
        <v>365</v>
      </c>
      <c r="C6" s="6">
        <v>365</v>
      </c>
      <c r="D6" s="6">
        <v>366</v>
      </c>
      <c r="E6" s="6">
        <v>365</v>
      </c>
      <c r="F6" s="6">
        <v>365</v>
      </c>
      <c r="G6" s="6">
        <v>366</v>
      </c>
      <c r="H6" s="6">
        <v>365</v>
      </c>
      <c r="I6" s="6">
        <v>365</v>
      </c>
      <c r="J6" s="6">
        <v>366</v>
      </c>
      <c r="K6" s="6">
        <v>365</v>
      </c>
    </row>
    <row r="7" spans="1:11" ht="17.7" customHeight="1" x14ac:dyDescent="0.3">
      <c r="A7" s="3" t="s">
        <v>3</v>
      </c>
      <c r="B7" s="6">
        <v>113</v>
      </c>
      <c r="C7" s="6">
        <v>112</v>
      </c>
      <c r="D7" s="6">
        <v>111</v>
      </c>
      <c r="E7" s="6">
        <v>110</v>
      </c>
      <c r="F7" s="6">
        <v>109</v>
      </c>
      <c r="G7" s="6">
        <v>108</v>
      </c>
      <c r="H7" s="6">
        <v>113</v>
      </c>
      <c r="I7" s="6">
        <v>112</v>
      </c>
      <c r="J7" s="6">
        <v>111</v>
      </c>
      <c r="K7" s="6">
        <v>110</v>
      </c>
    </row>
    <row r="8" spans="1:11" ht="14.55" customHeight="1" x14ac:dyDescent="0.3">
      <c r="A8" s="3" t="s">
        <v>107</v>
      </c>
      <c r="B8" s="7"/>
      <c r="C8" s="7"/>
      <c r="D8" s="71">
        <f>D6-D7</f>
        <v>255</v>
      </c>
      <c r="E8" s="7"/>
      <c r="F8" s="7"/>
      <c r="G8" s="7"/>
      <c r="H8" s="7"/>
      <c r="I8" s="7"/>
      <c r="J8" s="7"/>
      <c r="K8" s="7"/>
    </row>
    <row r="9" spans="1:11" ht="15" customHeight="1" x14ac:dyDescent="0.3">
      <c r="A9" s="3" t="s">
        <v>35</v>
      </c>
      <c r="B9" s="7"/>
      <c r="C9" s="7"/>
      <c r="D9" s="71">
        <f>D10+D11+D12+D13</f>
        <v>35</v>
      </c>
      <c r="E9" s="7"/>
      <c r="F9" s="7"/>
      <c r="G9" s="7"/>
      <c r="H9" s="7"/>
      <c r="I9" s="7"/>
      <c r="J9" s="7"/>
      <c r="K9" s="7"/>
    </row>
    <row r="10" spans="1:11" ht="16.649999999999999" customHeight="1" x14ac:dyDescent="0.3">
      <c r="A10" s="21" t="s">
        <v>4</v>
      </c>
      <c r="B10" s="6">
        <v>26</v>
      </c>
      <c r="C10" s="8">
        <v>28</v>
      </c>
      <c r="D10" s="8">
        <v>30</v>
      </c>
      <c r="E10" s="8">
        <v>31</v>
      </c>
      <c r="F10" s="8">
        <v>32</v>
      </c>
      <c r="G10" s="8">
        <v>28</v>
      </c>
      <c r="H10" s="8">
        <v>26</v>
      </c>
      <c r="I10" s="8">
        <v>27</v>
      </c>
      <c r="J10" s="8">
        <v>30</v>
      </c>
      <c r="K10" s="8">
        <v>32</v>
      </c>
    </row>
    <row r="11" spans="1:11" ht="19.95" customHeight="1" x14ac:dyDescent="0.3">
      <c r="A11" s="21" t="s">
        <v>5</v>
      </c>
      <c r="B11" s="6">
        <v>3</v>
      </c>
      <c r="C11" s="8">
        <v>1</v>
      </c>
      <c r="D11" s="8">
        <v>2</v>
      </c>
      <c r="E11" s="8">
        <v>0</v>
      </c>
      <c r="F11" s="8">
        <v>3</v>
      </c>
      <c r="G11" s="8">
        <v>2</v>
      </c>
      <c r="H11" s="8">
        <v>1</v>
      </c>
      <c r="I11" s="8">
        <v>2</v>
      </c>
      <c r="J11" s="8">
        <v>3</v>
      </c>
      <c r="K11" s="8">
        <v>0</v>
      </c>
    </row>
    <row r="12" spans="1:11" ht="14.55" customHeight="1" x14ac:dyDescent="0.3">
      <c r="A12" s="21" t="s">
        <v>6</v>
      </c>
      <c r="B12" s="6">
        <v>3</v>
      </c>
      <c r="C12" s="8">
        <v>2</v>
      </c>
      <c r="D12" s="8">
        <v>1</v>
      </c>
      <c r="E12" s="8">
        <v>4</v>
      </c>
      <c r="F12" s="8">
        <v>2</v>
      </c>
      <c r="G12" s="8">
        <v>1</v>
      </c>
      <c r="H12" s="8">
        <v>3</v>
      </c>
      <c r="I12" s="8">
        <v>2</v>
      </c>
      <c r="J12" s="8">
        <v>3</v>
      </c>
      <c r="K12" s="8">
        <v>1</v>
      </c>
    </row>
    <row r="13" spans="1:11" ht="32.25" customHeight="1" x14ac:dyDescent="0.3">
      <c r="A13" s="21" t="s">
        <v>7</v>
      </c>
      <c r="B13" s="6">
        <v>2</v>
      </c>
      <c r="C13" s="6">
        <v>1</v>
      </c>
      <c r="D13" s="6">
        <v>2</v>
      </c>
      <c r="E13" s="6">
        <v>0</v>
      </c>
      <c r="F13" s="6">
        <v>3</v>
      </c>
      <c r="G13" s="6">
        <v>0</v>
      </c>
      <c r="H13" s="6">
        <v>2</v>
      </c>
      <c r="I13" s="6">
        <v>1</v>
      </c>
      <c r="J13" s="6">
        <v>3</v>
      </c>
      <c r="K13" s="6">
        <v>2</v>
      </c>
    </row>
    <row r="14" spans="1:11" ht="17.25" customHeight="1" x14ac:dyDescent="0.3">
      <c r="A14" s="3" t="s">
        <v>108</v>
      </c>
      <c r="B14" s="7"/>
      <c r="C14" s="7"/>
      <c r="D14" s="71">
        <f>D8-D9</f>
        <v>220</v>
      </c>
      <c r="E14" s="7"/>
      <c r="F14" s="7"/>
      <c r="G14" s="7"/>
      <c r="H14" s="7"/>
      <c r="I14" s="7"/>
      <c r="J14" s="7"/>
      <c r="K14" s="7"/>
    </row>
    <row r="15" spans="1:11" ht="29.55" customHeight="1" x14ac:dyDescent="0.3">
      <c r="A15" s="3" t="s">
        <v>110</v>
      </c>
      <c r="B15" s="7"/>
      <c r="C15" s="7"/>
      <c r="D15" s="71">
        <f>D14*8</f>
        <v>1760</v>
      </c>
      <c r="E15" s="7"/>
      <c r="F15" s="7"/>
      <c r="G15" s="7"/>
      <c r="H15" s="7"/>
      <c r="I15" s="7"/>
      <c r="J15" s="7"/>
      <c r="K15" s="7"/>
    </row>
    <row r="16" spans="1:11" ht="15.6" x14ac:dyDescent="0.3">
      <c r="A16" s="3" t="s">
        <v>76</v>
      </c>
      <c r="B16" s="6">
        <v>10</v>
      </c>
      <c r="C16" s="6">
        <v>9</v>
      </c>
      <c r="D16" s="6">
        <v>28</v>
      </c>
      <c r="E16" s="6">
        <v>7</v>
      </c>
      <c r="F16" s="6">
        <v>15</v>
      </c>
      <c r="G16" s="6">
        <v>6</v>
      </c>
      <c r="H16" s="6">
        <v>10</v>
      </c>
      <c r="I16" s="6">
        <v>15</v>
      </c>
      <c r="J16" s="6">
        <v>10</v>
      </c>
      <c r="K16" s="6">
        <v>17</v>
      </c>
    </row>
    <row r="17" spans="1:11" ht="19.350000000000001" customHeight="1" x14ac:dyDescent="0.3">
      <c r="A17" s="3" t="s">
        <v>109</v>
      </c>
      <c r="B17" s="7"/>
      <c r="C17" s="7"/>
      <c r="D17" s="71">
        <f>D15-D16</f>
        <v>1732</v>
      </c>
      <c r="E17" s="7"/>
      <c r="F17" s="7"/>
      <c r="G17" s="7"/>
      <c r="H17" s="7"/>
      <c r="I17" s="7"/>
      <c r="J17" s="7"/>
      <c r="K17" s="7"/>
    </row>
    <row r="18" spans="1:11" ht="29.1" customHeight="1" x14ac:dyDescent="0.3">
      <c r="A18" s="3" t="s">
        <v>106</v>
      </c>
      <c r="B18" s="7"/>
      <c r="C18" s="7"/>
      <c r="D18" s="71">
        <f>D17/12</f>
        <v>144.33333333333334</v>
      </c>
      <c r="E18" s="7"/>
      <c r="F18" s="7"/>
      <c r="G18" s="7"/>
      <c r="H18" s="7"/>
      <c r="I18" s="7"/>
      <c r="J18" s="7"/>
      <c r="K18" s="7"/>
    </row>
    <row r="20" spans="1:11" ht="15.6" x14ac:dyDescent="0.3">
      <c r="A20" s="86" t="s">
        <v>39</v>
      </c>
      <c r="B20" s="86"/>
      <c r="C20" s="86"/>
      <c r="D20" s="86"/>
      <c r="E20" s="86"/>
      <c r="F20" s="86"/>
      <c r="G20" s="86"/>
      <c r="H20" s="86"/>
    </row>
    <row r="21" spans="1:11" ht="15.6" x14ac:dyDescent="0.3">
      <c r="A21" s="4" t="s">
        <v>0</v>
      </c>
      <c r="B21" s="83" t="s">
        <v>1</v>
      </c>
      <c r="C21" s="84"/>
      <c r="D21" s="84"/>
      <c r="E21" s="84"/>
      <c r="F21" s="84"/>
      <c r="G21" s="84"/>
      <c r="H21" s="84"/>
      <c r="I21" s="84"/>
      <c r="J21" s="84"/>
      <c r="K21" s="85"/>
    </row>
    <row r="22" spans="1:11" ht="15.6" x14ac:dyDescent="0.35">
      <c r="A22" s="4"/>
      <c r="B22" s="54">
        <v>1</v>
      </c>
      <c r="C22" s="55">
        <v>2</v>
      </c>
      <c r="D22" s="72">
        <v>3</v>
      </c>
      <c r="E22" s="55">
        <v>4</v>
      </c>
      <c r="F22" s="55">
        <v>5</v>
      </c>
      <c r="G22" s="55">
        <v>6</v>
      </c>
      <c r="H22" s="55">
        <v>7</v>
      </c>
      <c r="I22" s="55">
        <v>8</v>
      </c>
      <c r="J22" s="55">
        <v>9</v>
      </c>
      <c r="K22" s="55">
        <v>10</v>
      </c>
    </row>
    <row r="23" spans="1:11" ht="15.6" x14ac:dyDescent="0.3">
      <c r="A23" s="3" t="s">
        <v>38</v>
      </c>
      <c r="B23" s="6">
        <v>600</v>
      </c>
      <c r="C23" s="6">
        <v>520</v>
      </c>
      <c r="D23" s="73">
        <v>480</v>
      </c>
      <c r="E23" s="6">
        <v>660</v>
      </c>
      <c r="F23" s="6">
        <v>500</v>
      </c>
      <c r="G23" s="6">
        <v>450</v>
      </c>
      <c r="H23" s="6">
        <v>390</v>
      </c>
      <c r="I23" s="6">
        <v>670</v>
      </c>
      <c r="J23" s="6">
        <v>580</v>
      </c>
      <c r="K23" s="6">
        <v>490</v>
      </c>
    </row>
    <row r="24" spans="1:11" ht="15.6" x14ac:dyDescent="0.3">
      <c r="A24" s="3" t="s">
        <v>55</v>
      </c>
      <c r="B24" s="6">
        <v>50</v>
      </c>
      <c r="C24" s="6">
        <v>55</v>
      </c>
      <c r="D24" s="73">
        <v>60</v>
      </c>
      <c r="E24" s="6">
        <v>40</v>
      </c>
      <c r="F24" s="6">
        <v>45</v>
      </c>
      <c r="G24" s="6">
        <v>50</v>
      </c>
      <c r="H24" s="6">
        <v>55</v>
      </c>
      <c r="I24" s="6">
        <v>60</v>
      </c>
      <c r="J24" s="6">
        <v>45</v>
      </c>
      <c r="K24" s="6">
        <v>40</v>
      </c>
    </row>
    <row r="25" spans="1:11" ht="15.6" x14ac:dyDescent="0.3">
      <c r="A25" s="3" t="s">
        <v>40</v>
      </c>
      <c r="B25" s="6">
        <v>2</v>
      </c>
      <c r="C25" s="6">
        <v>3</v>
      </c>
      <c r="D25" s="73">
        <v>2</v>
      </c>
      <c r="E25" s="6">
        <v>3</v>
      </c>
      <c r="F25" s="6">
        <v>2</v>
      </c>
      <c r="G25" s="6">
        <v>3</v>
      </c>
      <c r="H25" s="6">
        <v>2</v>
      </c>
      <c r="I25" s="6">
        <v>3</v>
      </c>
      <c r="J25" s="6">
        <v>2</v>
      </c>
      <c r="K25" s="6">
        <v>3</v>
      </c>
    </row>
    <row r="26" spans="1:11" ht="31.2" x14ac:dyDescent="0.3">
      <c r="A26" s="3" t="s">
        <v>68</v>
      </c>
      <c r="B26" s="6">
        <v>13380</v>
      </c>
      <c r="C26" s="6">
        <v>15960</v>
      </c>
      <c r="D26" s="73">
        <v>16040</v>
      </c>
      <c r="E26" s="6">
        <v>27300</v>
      </c>
      <c r="F26" s="6">
        <v>38420</v>
      </c>
      <c r="G26" s="6">
        <v>4760</v>
      </c>
      <c r="H26" s="6">
        <v>23500</v>
      </c>
      <c r="I26" s="6">
        <v>19450</v>
      </c>
      <c r="J26" s="6">
        <v>21360</v>
      </c>
      <c r="K26" s="6">
        <v>14790</v>
      </c>
    </row>
    <row r="27" spans="1:11" ht="15.6" x14ac:dyDescent="0.3">
      <c r="A27" s="10" t="s">
        <v>46</v>
      </c>
      <c r="B27" s="15"/>
      <c r="C27" s="16"/>
      <c r="D27" s="74"/>
      <c r="E27" s="16"/>
      <c r="F27" s="16"/>
      <c r="G27" s="16"/>
      <c r="H27" s="16"/>
      <c r="I27" s="16"/>
      <c r="J27" s="6"/>
      <c r="K27" s="6"/>
    </row>
    <row r="28" spans="1:11" ht="15.6" x14ac:dyDescent="0.3">
      <c r="A28" s="18" t="s">
        <v>51</v>
      </c>
      <c r="B28" s="19">
        <v>1</v>
      </c>
      <c r="C28" s="20">
        <v>2</v>
      </c>
      <c r="D28" s="73">
        <v>3</v>
      </c>
      <c r="E28" s="20">
        <v>4</v>
      </c>
      <c r="F28" s="20">
        <v>2</v>
      </c>
      <c r="G28" s="20">
        <v>1</v>
      </c>
      <c r="H28" s="20">
        <v>4</v>
      </c>
      <c r="I28" s="20">
        <v>3</v>
      </c>
      <c r="J28" s="6">
        <v>3</v>
      </c>
      <c r="K28" s="6">
        <v>2</v>
      </c>
    </row>
    <row r="29" spans="1:11" ht="15.6" x14ac:dyDescent="0.3">
      <c r="A29" s="18" t="s">
        <v>47</v>
      </c>
      <c r="B29" s="19">
        <v>5</v>
      </c>
      <c r="C29" s="20">
        <v>4</v>
      </c>
      <c r="D29" s="73">
        <v>5</v>
      </c>
      <c r="E29" s="20">
        <v>6</v>
      </c>
      <c r="F29" s="20">
        <v>3</v>
      </c>
      <c r="G29" s="20">
        <v>4</v>
      </c>
      <c r="H29" s="20">
        <v>5</v>
      </c>
      <c r="I29" s="20">
        <v>6</v>
      </c>
      <c r="J29" s="6">
        <v>4</v>
      </c>
      <c r="K29" s="6">
        <v>5</v>
      </c>
    </row>
    <row r="30" spans="1:11" ht="15.6" x14ac:dyDescent="0.3">
      <c r="A30" s="21" t="s">
        <v>52</v>
      </c>
      <c r="B30" s="19">
        <v>1</v>
      </c>
      <c r="C30" s="20">
        <v>1</v>
      </c>
      <c r="D30" s="73">
        <v>2</v>
      </c>
      <c r="E30" s="20">
        <v>1</v>
      </c>
      <c r="F30" s="20">
        <v>2</v>
      </c>
      <c r="G30" s="20">
        <v>3</v>
      </c>
      <c r="H30" s="20">
        <v>2</v>
      </c>
      <c r="I30" s="20">
        <v>1</v>
      </c>
      <c r="J30" s="6">
        <v>2</v>
      </c>
      <c r="K30" s="6">
        <v>1</v>
      </c>
    </row>
    <row r="31" spans="1:11" ht="15.6" x14ac:dyDescent="0.3">
      <c r="A31" s="21" t="s">
        <v>48</v>
      </c>
      <c r="B31" s="19">
        <v>1</v>
      </c>
      <c r="C31" s="20">
        <v>2</v>
      </c>
      <c r="D31" s="73">
        <v>3</v>
      </c>
      <c r="E31" s="20">
        <v>1</v>
      </c>
      <c r="F31" s="20">
        <v>2</v>
      </c>
      <c r="G31" s="20">
        <v>3</v>
      </c>
      <c r="H31" s="20">
        <v>1</v>
      </c>
      <c r="I31" s="20">
        <v>2</v>
      </c>
      <c r="J31" s="6">
        <v>3</v>
      </c>
      <c r="K31" s="6">
        <v>1</v>
      </c>
    </row>
    <row r="32" spans="1:11" ht="15.6" x14ac:dyDescent="0.3">
      <c r="A32" s="21" t="s">
        <v>49</v>
      </c>
      <c r="B32" s="19">
        <v>2</v>
      </c>
      <c r="C32" s="20">
        <v>2</v>
      </c>
      <c r="D32" s="73">
        <v>3</v>
      </c>
      <c r="E32" s="20">
        <v>1</v>
      </c>
      <c r="F32" s="20">
        <v>3</v>
      </c>
      <c r="G32" s="20">
        <v>2</v>
      </c>
      <c r="H32" s="20">
        <v>2</v>
      </c>
      <c r="I32" s="20">
        <v>3</v>
      </c>
      <c r="J32" s="6">
        <v>1</v>
      </c>
      <c r="K32" s="6">
        <v>1</v>
      </c>
    </row>
    <row r="33" spans="1:12" ht="15.6" x14ac:dyDescent="0.3">
      <c r="A33" s="18" t="s">
        <v>50</v>
      </c>
      <c r="B33" s="19">
        <v>3</v>
      </c>
      <c r="C33" s="20">
        <v>1</v>
      </c>
      <c r="D33" s="73">
        <v>2</v>
      </c>
      <c r="E33" s="20">
        <v>1</v>
      </c>
      <c r="F33" s="20">
        <v>3</v>
      </c>
      <c r="G33" s="20">
        <v>2</v>
      </c>
      <c r="H33" s="20">
        <v>2</v>
      </c>
      <c r="I33" s="20">
        <v>1</v>
      </c>
      <c r="J33" s="6">
        <v>3</v>
      </c>
      <c r="K33" s="6">
        <v>1</v>
      </c>
    </row>
    <row r="34" spans="1:12" ht="15.6" x14ac:dyDescent="0.3">
      <c r="A34" s="24" t="s">
        <v>53</v>
      </c>
      <c r="B34" s="22"/>
      <c r="C34" s="23"/>
      <c r="D34" s="75"/>
      <c r="E34" s="23"/>
      <c r="F34" s="23"/>
      <c r="G34" s="23"/>
      <c r="H34" s="23"/>
      <c r="I34" s="23"/>
      <c r="J34" s="6"/>
      <c r="K34" s="6"/>
    </row>
    <row r="35" spans="1:12" ht="15.6" x14ac:dyDescent="0.3">
      <c r="A35" s="18" t="s">
        <v>51</v>
      </c>
      <c r="B35" s="22">
        <v>6</v>
      </c>
      <c r="C35" s="23">
        <v>7</v>
      </c>
      <c r="D35" s="75">
        <v>6</v>
      </c>
      <c r="E35" s="23">
        <v>5</v>
      </c>
      <c r="F35" s="23">
        <v>8</v>
      </c>
      <c r="G35" s="23">
        <v>8</v>
      </c>
      <c r="H35" s="23">
        <v>7</v>
      </c>
      <c r="I35" s="23">
        <v>6</v>
      </c>
      <c r="J35" s="6">
        <v>7</v>
      </c>
      <c r="K35" s="6">
        <v>8</v>
      </c>
    </row>
    <row r="36" spans="1:12" ht="15.6" x14ac:dyDescent="0.3">
      <c r="A36" s="18" t="s">
        <v>47</v>
      </c>
      <c r="B36" s="22">
        <v>4</v>
      </c>
      <c r="C36" s="23">
        <v>3</v>
      </c>
      <c r="D36" s="75">
        <v>4</v>
      </c>
      <c r="E36" s="23">
        <v>4</v>
      </c>
      <c r="F36" s="23">
        <v>3</v>
      </c>
      <c r="G36" s="23">
        <v>4</v>
      </c>
      <c r="H36" s="23">
        <v>3</v>
      </c>
      <c r="I36" s="23">
        <v>4</v>
      </c>
      <c r="J36" s="6">
        <v>3</v>
      </c>
      <c r="K36" s="6">
        <v>4</v>
      </c>
    </row>
    <row r="37" spans="1:12" ht="15.6" x14ac:dyDescent="0.3">
      <c r="A37" s="21" t="s">
        <v>52</v>
      </c>
      <c r="B37" s="22">
        <v>5</v>
      </c>
      <c r="C37" s="23">
        <v>5</v>
      </c>
      <c r="D37" s="75">
        <v>4</v>
      </c>
      <c r="E37" s="23">
        <v>6</v>
      </c>
      <c r="F37" s="23">
        <v>5</v>
      </c>
      <c r="G37" s="23">
        <v>5</v>
      </c>
      <c r="H37" s="23">
        <v>4</v>
      </c>
      <c r="I37" s="23">
        <v>6</v>
      </c>
      <c r="J37" s="6">
        <v>5</v>
      </c>
      <c r="K37" s="6">
        <v>4</v>
      </c>
    </row>
    <row r="38" spans="1:12" ht="15.6" x14ac:dyDescent="0.3">
      <c r="A38" s="21" t="s">
        <v>48</v>
      </c>
      <c r="B38" s="22">
        <v>7</v>
      </c>
      <c r="C38" s="23">
        <v>6</v>
      </c>
      <c r="D38" s="75">
        <v>8</v>
      </c>
      <c r="E38" s="23">
        <v>5</v>
      </c>
      <c r="F38" s="23">
        <v>6</v>
      </c>
      <c r="G38" s="23">
        <v>7</v>
      </c>
      <c r="H38" s="23">
        <v>8</v>
      </c>
      <c r="I38" s="23">
        <v>5</v>
      </c>
      <c r="J38" s="6">
        <v>6</v>
      </c>
      <c r="K38" s="6">
        <v>7</v>
      </c>
    </row>
    <row r="39" spans="1:12" ht="15.6" x14ac:dyDescent="0.3">
      <c r="A39" s="21" t="s">
        <v>49</v>
      </c>
      <c r="B39" s="22">
        <v>3</v>
      </c>
      <c r="C39" s="23">
        <v>2</v>
      </c>
      <c r="D39" s="75">
        <v>3</v>
      </c>
      <c r="E39" s="23">
        <v>2</v>
      </c>
      <c r="F39" s="23">
        <v>2</v>
      </c>
      <c r="G39" s="23">
        <v>3</v>
      </c>
      <c r="H39" s="23">
        <v>2</v>
      </c>
      <c r="I39" s="23">
        <v>3</v>
      </c>
      <c r="J39" s="6">
        <v>2</v>
      </c>
      <c r="K39" s="6">
        <v>3</v>
      </c>
    </row>
    <row r="40" spans="1:12" ht="15.6" x14ac:dyDescent="0.3">
      <c r="A40" s="18" t="s">
        <v>50</v>
      </c>
      <c r="B40" s="22">
        <v>2</v>
      </c>
      <c r="C40" s="23">
        <v>2</v>
      </c>
      <c r="D40" s="75">
        <v>3</v>
      </c>
      <c r="E40" s="23">
        <v>1</v>
      </c>
      <c r="F40" s="23">
        <v>2</v>
      </c>
      <c r="G40" s="23">
        <v>2</v>
      </c>
      <c r="H40" s="23">
        <v>1</v>
      </c>
      <c r="I40" s="23">
        <v>3</v>
      </c>
      <c r="J40" s="6">
        <v>2</v>
      </c>
      <c r="K40" s="6">
        <v>2</v>
      </c>
    </row>
    <row r="41" spans="1:12" ht="15.6" x14ac:dyDescent="0.3">
      <c r="A41" s="49" t="s">
        <v>63</v>
      </c>
      <c r="B41" s="19"/>
      <c r="C41" s="20"/>
      <c r="D41" s="73"/>
      <c r="E41" s="20"/>
      <c r="F41" s="20"/>
      <c r="G41" s="20"/>
      <c r="H41" s="20"/>
      <c r="I41" s="20"/>
      <c r="J41" s="6"/>
      <c r="K41" s="6"/>
    </row>
    <row r="42" spans="1:12" ht="15.6" x14ac:dyDescent="0.3">
      <c r="A42" s="21" t="s">
        <v>64</v>
      </c>
      <c r="B42" s="19">
        <v>1</v>
      </c>
      <c r="C42" s="20">
        <v>2</v>
      </c>
      <c r="D42" s="73">
        <v>1</v>
      </c>
      <c r="E42" s="20">
        <v>2</v>
      </c>
      <c r="F42" s="20">
        <v>1</v>
      </c>
      <c r="G42" s="20">
        <v>2</v>
      </c>
      <c r="H42" s="20">
        <v>1</v>
      </c>
      <c r="I42" s="20">
        <v>2</v>
      </c>
      <c r="J42" s="6">
        <v>1</v>
      </c>
      <c r="K42" s="6">
        <v>2</v>
      </c>
    </row>
    <row r="43" spans="1:12" ht="15.6" x14ac:dyDescent="0.3">
      <c r="A43" s="21" t="s">
        <v>32</v>
      </c>
      <c r="B43" s="19">
        <v>1</v>
      </c>
      <c r="C43" s="20">
        <v>2</v>
      </c>
      <c r="D43" s="73">
        <v>3</v>
      </c>
      <c r="E43" s="20">
        <v>1</v>
      </c>
      <c r="F43" s="20">
        <v>2</v>
      </c>
      <c r="G43" s="20">
        <v>3</v>
      </c>
      <c r="H43" s="20">
        <v>1</v>
      </c>
      <c r="I43" s="20">
        <v>2</v>
      </c>
      <c r="J43" s="6">
        <v>3</v>
      </c>
      <c r="K43" s="6">
        <v>1</v>
      </c>
    </row>
    <row r="44" spans="1:12" ht="15.6" x14ac:dyDescent="0.3">
      <c r="A44" s="21" t="s">
        <v>33</v>
      </c>
      <c r="B44" s="19">
        <v>2</v>
      </c>
      <c r="C44" s="20">
        <v>3</v>
      </c>
      <c r="D44" s="73">
        <v>1</v>
      </c>
      <c r="E44" s="20">
        <v>2</v>
      </c>
      <c r="F44" s="20">
        <v>3</v>
      </c>
      <c r="G44" s="20">
        <v>1</v>
      </c>
      <c r="H44" s="20">
        <v>2</v>
      </c>
      <c r="I44" s="20">
        <v>3</v>
      </c>
      <c r="J44" s="6">
        <v>1</v>
      </c>
      <c r="K44" s="6">
        <v>2</v>
      </c>
      <c r="L44" s="25"/>
    </row>
    <row r="45" spans="1:12" ht="15.6" x14ac:dyDescent="0.3">
      <c r="A45" s="50" t="s">
        <v>61</v>
      </c>
      <c r="B45" s="19"/>
      <c r="C45" s="20"/>
      <c r="D45" s="73"/>
      <c r="E45" s="20"/>
      <c r="F45" s="20"/>
      <c r="G45" s="20"/>
      <c r="H45" s="20"/>
      <c r="I45" s="20"/>
      <c r="J45" s="6"/>
      <c r="K45" s="6"/>
    </row>
    <row r="46" spans="1:12" ht="15.6" x14ac:dyDescent="0.3">
      <c r="A46" s="21" t="s">
        <v>31</v>
      </c>
      <c r="B46" s="19">
        <v>3500</v>
      </c>
      <c r="C46" s="20">
        <v>3100</v>
      </c>
      <c r="D46" s="73">
        <v>3150</v>
      </c>
      <c r="E46" s="20">
        <v>2900</v>
      </c>
      <c r="F46" s="20">
        <v>2180</v>
      </c>
      <c r="G46" s="20">
        <v>3010</v>
      </c>
      <c r="H46" s="20">
        <v>2240</v>
      </c>
      <c r="I46" s="20">
        <v>2670</v>
      </c>
      <c r="J46" s="6">
        <v>2550</v>
      </c>
      <c r="K46" s="6">
        <v>3140</v>
      </c>
    </row>
    <row r="47" spans="1:12" ht="15.6" x14ac:dyDescent="0.3">
      <c r="A47" s="21" t="s">
        <v>32</v>
      </c>
      <c r="B47" s="19">
        <v>3160</v>
      </c>
      <c r="C47" s="20">
        <v>2800</v>
      </c>
      <c r="D47" s="73">
        <v>2750</v>
      </c>
      <c r="E47" s="20">
        <v>2210</v>
      </c>
      <c r="F47" s="20">
        <v>1800</v>
      </c>
      <c r="G47" s="20">
        <v>2460</v>
      </c>
      <c r="H47" s="20">
        <v>1900</v>
      </c>
      <c r="I47" s="20">
        <v>2300</v>
      </c>
      <c r="J47" s="6">
        <v>2040</v>
      </c>
      <c r="K47" s="6">
        <v>2760</v>
      </c>
    </row>
    <row r="48" spans="1:12" ht="15.6" x14ac:dyDescent="0.3">
      <c r="A48" s="21" t="s">
        <v>33</v>
      </c>
      <c r="B48" s="19">
        <v>2900</v>
      </c>
      <c r="C48" s="20">
        <v>2580</v>
      </c>
      <c r="D48" s="73">
        <v>2400</v>
      </c>
      <c r="E48" s="20">
        <v>2030</v>
      </c>
      <c r="F48" s="20">
        <v>1750</v>
      </c>
      <c r="G48" s="20">
        <v>2170</v>
      </c>
      <c r="H48" s="20">
        <v>1710</v>
      </c>
      <c r="I48" s="20">
        <v>2055</v>
      </c>
      <c r="J48" s="6">
        <v>1880</v>
      </c>
      <c r="K48" s="6">
        <v>2255</v>
      </c>
    </row>
    <row r="49" spans="1:11" ht="15.6" x14ac:dyDescent="0.3">
      <c r="A49" s="12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ht="15.6" x14ac:dyDescent="0.3">
      <c r="A50" s="86" t="s">
        <v>36</v>
      </c>
      <c r="B50" s="86"/>
      <c r="C50" s="86"/>
      <c r="D50" s="86"/>
      <c r="E50" s="86"/>
      <c r="F50" s="86"/>
      <c r="G50" s="86"/>
      <c r="H50" s="86"/>
    </row>
    <row r="51" spans="1:11" ht="15.6" x14ac:dyDescent="0.3">
      <c r="A51" s="10" t="s">
        <v>9</v>
      </c>
      <c r="B51" s="11">
        <v>1</v>
      </c>
      <c r="C51" s="11">
        <v>2</v>
      </c>
      <c r="D51" s="11">
        <v>3</v>
      </c>
      <c r="E51" s="11">
        <v>4</v>
      </c>
      <c r="F51" s="11">
        <v>5</v>
      </c>
      <c r="G51" s="11">
        <v>6</v>
      </c>
      <c r="H51" s="11">
        <v>7</v>
      </c>
      <c r="I51" s="11">
        <v>8</v>
      </c>
    </row>
    <row r="52" spans="1:11" ht="15.6" x14ac:dyDescent="0.3">
      <c r="A52" s="10" t="s">
        <v>10</v>
      </c>
      <c r="B52" s="17">
        <f>D23/D18</f>
        <v>3.3256351039260967</v>
      </c>
      <c r="C52" s="17">
        <f>$B$52*C53</f>
        <v>3.8577367205542719</v>
      </c>
      <c r="D52" s="17">
        <f t="shared" ref="D52:I52" si="0">$B$52*D53</f>
        <v>4.4896073903002307</v>
      </c>
      <c r="E52" s="17">
        <f t="shared" si="0"/>
        <v>5.2212471131639724</v>
      </c>
      <c r="F52" s="17">
        <f t="shared" si="0"/>
        <v>5.7533487297921475</v>
      </c>
      <c r="G52" s="17">
        <f t="shared" si="0"/>
        <v>6.3187066974595831</v>
      </c>
      <c r="H52" s="17">
        <f t="shared" si="0"/>
        <v>6.7510392609699759</v>
      </c>
      <c r="I52" s="17">
        <f t="shared" si="0"/>
        <v>7.21662817551963</v>
      </c>
    </row>
    <row r="53" spans="1:11" ht="15.6" x14ac:dyDescent="0.3">
      <c r="A53" s="10" t="s">
        <v>11</v>
      </c>
      <c r="B53" s="40">
        <v>1</v>
      </c>
      <c r="C53" s="41">
        <v>1.1599999999999999</v>
      </c>
      <c r="D53" s="41">
        <v>1.35</v>
      </c>
      <c r="E53" s="41">
        <v>1.57</v>
      </c>
      <c r="F53" s="41">
        <v>1.73</v>
      </c>
      <c r="G53" s="41">
        <v>1.9</v>
      </c>
      <c r="H53" s="41">
        <v>2.0299999999999998</v>
      </c>
      <c r="I53" s="41">
        <v>2.17</v>
      </c>
    </row>
    <row r="54" spans="1:11" ht="11.85" customHeight="1" x14ac:dyDescent="0.3">
      <c r="A54" s="42"/>
      <c r="B54" s="44"/>
      <c r="C54" s="45"/>
      <c r="D54" s="45"/>
      <c r="E54" s="45"/>
      <c r="F54" s="45"/>
      <c r="G54" s="45"/>
      <c r="H54" s="45"/>
      <c r="I54" s="45"/>
    </row>
    <row r="55" spans="1:11" ht="15.6" x14ac:dyDescent="0.3">
      <c r="A55" s="79" t="s">
        <v>37</v>
      </c>
      <c r="B55" s="79"/>
      <c r="C55" s="79"/>
      <c r="D55" s="79"/>
      <c r="E55" s="79"/>
      <c r="F55" s="79"/>
      <c r="G55" s="79"/>
      <c r="H55" s="79"/>
      <c r="I55" s="79"/>
    </row>
    <row r="56" spans="1:11" ht="32.85" customHeight="1" x14ac:dyDescent="0.3">
      <c r="A56" s="87" t="s">
        <v>12</v>
      </c>
      <c r="B56" s="87" t="s">
        <v>13</v>
      </c>
      <c r="C56" s="87"/>
      <c r="D56" s="87"/>
      <c r="E56" s="87"/>
      <c r="F56" s="87" t="s">
        <v>14</v>
      </c>
      <c r="G56" s="87"/>
      <c r="H56" s="26"/>
      <c r="I56" s="26"/>
    </row>
    <row r="57" spans="1:11" ht="36.6" customHeight="1" x14ac:dyDescent="0.3">
      <c r="A57" s="87"/>
      <c r="B57" s="88" t="s">
        <v>15</v>
      </c>
      <c r="C57" s="87" t="s">
        <v>65</v>
      </c>
      <c r="D57" s="87"/>
      <c r="E57" s="88" t="s">
        <v>16</v>
      </c>
      <c r="F57" s="87" t="s">
        <v>54</v>
      </c>
      <c r="G57" s="87" t="s">
        <v>17</v>
      </c>
      <c r="H57" s="26"/>
      <c r="I57" s="26"/>
    </row>
    <row r="58" spans="1:11" ht="48.9" customHeight="1" x14ac:dyDescent="0.3">
      <c r="A58" s="87"/>
      <c r="B58" s="88"/>
      <c r="C58" s="43" t="s">
        <v>18</v>
      </c>
      <c r="D58" s="43" t="s">
        <v>19</v>
      </c>
      <c r="E58" s="88"/>
      <c r="F58" s="87"/>
      <c r="G58" s="87"/>
      <c r="H58" s="26"/>
      <c r="I58" s="26"/>
    </row>
    <row r="59" spans="1:11" x14ac:dyDescent="0.3">
      <c r="A59" s="30" t="s">
        <v>20</v>
      </c>
      <c r="B59" s="30"/>
      <c r="C59" s="30"/>
      <c r="D59" s="30"/>
      <c r="E59" s="30"/>
      <c r="F59" s="30"/>
      <c r="G59" s="30"/>
      <c r="H59" s="26"/>
      <c r="I59" s="26"/>
    </row>
    <row r="60" spans="1:11" x14ac:dyDescent="0.3">
      <c r="A60" s="9" t="s">
        <v>34</v>
      </c>
      <c r="B60" s="31">
        <f>D35</f>
        <v>6</v>
      </c>
      <c r="C60" s="31">
        <f>D28</f>
        <v>3</v>
      </c>
      <c r="D60" s="32">
        <f>$D$25*C60</f>
        <v>6</v>
      </c>
      <c r="E60" s="31">
        <f>ROUND(D60*D8/D14,0)</f>
        <v>7</v>
      </c>
      <c r="F60" s="31">
        <f>E60*D$17</f>
        <v>12124</v>
      </c>
      <c r="G60" s="31">
        <f>F60*G52</f>
        <v>76607.999999999985</v>
      </c>
      <c r="H60" s="27"/>
      <c r="I60" s="27"/>
    </row>
    <row r="61" spans="1:11" x14ac:dyDescent="0.3">
      <c r="A61" s="9" t="s">
        <v>21</v>
      </c>
      <c r="B61" s="31">
        <f>D36</f>
        <v>4</v>
      </c>
      <c r="C61" s="31">
        <f>D29</f>
        <v>5</v>
      </c>
      <c r="D61" s="32">
        <f>$D$25*C61</f>
        <v>10</v>
      </c>
      <c r="E61" s="31">
        <f>ROUND(D61*D8/D14,0)</f>
        <v>12</v>
      </c>
      <c r="F61" s="31">
        <f>E61*D$17</f>
        <v>20784</v>
      </c>
      <c r="G61" s="31">
        <f>F61*E52</f>
        <v>108518.40000000001</v>
      </c>
      <c r="H61" s="27"/>
      <c r="I61" s="27"/>
    </row>
    <row r="62" spans="1:11" x14ac:dyDescent="0.3">
      <c r="A62" s="29" t="s">
        <v>22</v>
      </c>
      <c r="B62" s="28"/>
      <c r="C62" s="36">
        <f>C60+C61</f>
        <v>8</v>
      </c>
      <c r="D62" s="36">
        <f>D60+D61</f>
        <v>16</v>
      </c>
      <c r="E62" s="36">
        <f>E60+E61</f>
        <v>19</v>
      </c>
      <c r="F62" s="36">
        <f>F60+F61</f>
        <v>32908</v>
      </c>
      <c r="G62" s="36">
        <f>G60+G61</f>
        <v>185126.39999999999</v>
      </c>
      <c r="H62" s="27"/>
      <c r="I62" s="27"/>
    </row>
    <row r="63" spans="1:11" x14ac:dyDescent="0.3">
      <c r="A63" s="30" t="s">
        <v>23</v>
      </c>
      <c r="B63" s="30"/>
      <c r="C63" s="30"/>
      <c r="D63" s="28"/>
      <c r="E63" s="76"/>
      <c r="F63" s="38"/>
      <c r="G63" s="34"/>
      <c r="H63" s="26"/>
      <c r="I63" s="26"/>
    </row>
    <row r="64" spans="1:11" x14ac:dyDescent="0.3">
      <c r="A64" s="29" t="s">
        <v>41</v>
      </c>
      <c r="B64" s="31">
        <f>D37</f>
        <v>4</v>
      </c>
      <c r="C64" s="31">
        <f>D30</f>
        <v>2</v>
      </c>
      <c r="D64" s="32">
        <f>$D$25*C64</f>
        <v>4</v>
      </c>
      <c r="E64" s="31">
        <f>ROUND(D64*D8/D14,0)</f>
        <v>5</v>
      </c>
      <c r="F64" s="31">
        <f>E64*D17</f>
        <v>8660</v>
      </c>
      <c r="G64" s="35">
        <f>F64*E52</f>
        <v>45216</v>
      </c>
      <c r="H64" s="27"/>
      <c r="I64" s="33"/>
    </row>
    <row r="65" spans="1:9" x14ac:dyDescent="0.3">
      <c r="A65" s="29" t="s">
        <v>42</v>
      </c>
      <c r="B65" s="31">
        <f>D38</f>
        <v>8</v>
      </c>
      <c r="C65" s="31">
        <f>D31</f>
        <v>3</v>
      </c>
      <c r="D65" s="32">
        <f>$D$25*C65</f>
        <v>6</v>
      </c>
      <c r="E65" s="31">
        <f>ROUND(D65*D8/D14,0)</f>
        <v>7</v>
      </c>
      <c r="F65" s="31">
        <f>E65*D17</f>
        <v>12124</v>
      </c>
      <c r="G65" s="35">
        <f>F65*I52</f>
        <v>87494.399999999994</v>
      </c>
      <c r="H65" s="27"/>
      <c r="I65" s="27"/>
    </row>
    <row r="66" spans="1:9" x14ac:dyDescent="0.3">
      <c r="A66" s="29" t="s">
        <v>22</v>
      </c>
      <c r="B66" s="38"/>
      <c r="C66" s="37">
        <f>C64+C65</f>
        <v>5</v>
      </c>
      <c r="D66" s="37">
        <f>D64+D65</f>
        <v>10</v>
      </c>
      <c r="E66" s="36">
        <f>E64+E65</f>
        <v>12</v>
      </c>
      <c r="F66" s="37">
        <f>F64+F65</f>
        <v>20784</v>
      </c>
      <c r="G66" s="37">
        <f>G64+G65</f>
        <v>132710.39999999999</v>
      </c>
      <c r="H66" s="27"/>
      <c r="I66" s="27"/>
    </row>
    <row r="67" spans="1:9" x14ac:dyDescent="0.3">
      <c r="A67" s="30" t="s">
        <v>24</v>
      </c>
      <c r="B67" s="30"/>
      <c r="C67" s="30"/>
      <c r="D67" s="28"/>
      <c r="E67" s="76"/>
      <c r="F67" s="38"/>
      <c r="G67" s="34"/>
      <c r="H67" s="26"/>
      <c r="I67" s="26"/>
    </row>
    <row r="68" spans="1:9" x14ac:dyDescent="0.3">
      <c r="A68" s="29" t="s">
        <v>43</v>
      </c>
      <c r="B68" s="31">
        <f>D39</f>
        <v>3</v>
      </c>
      <c r="C68" s="31">
        <f>D32</f>
        <v>3</v>
      </c>
      <c r="D68" s="32">
        <f>$D$25*C68</f>
        <v>6</v>
      </c>
      <c r="E68" s="31">
        <f>ROUND(D68*D8/D14,0)</f>
        <v>7</v>
      </c>
      <c r="F68" s="31">
        <f>E68*D17</f>
        <v>12124</v>
      </c>
      <c r="G68" s="35">
        <f>F68*D52</f>
        <v>54432</v>
      </c>
      <c r="H68" s="27"/>
      <c r="I68" s="27"/>
    </row>
    <row r="69" spans="1:9" x14ac:dyDescent="0.3">
      <c r="A69" s="29" t="s">
        <v>44</v>
      </c>
      <c r="B69" s="31">
        <f>D40</f>
        <v>3</v>
      </c>
      <c r="C69" s="31">
        <f>D33</f>
        <v>2</v>
      </c>
      <c r="D69" s="32">
        <f>$D$25*C69</f>
        <v>4</v>
      </c>
      <c r="E69" s="31">
        <f>ROUND(D69*D8/D14,0)</f>
        <v>5</v>
      </c>
      <c r="F69" s="31">
        <f>E69*D17</f>
        <v>8660</v>
      </c>
      <c r="G69" s="35">
        <f>F69*D52</f>
        <v>38880</v>
      </c>
      <c r="H69" s="27"/>
      <c r="I69" s="27"/>
    </row>
    <row r="70" spans="1:9" x14ac:dyDescent="0.3">
      <c r="A70" s="29" t="s">
        <v>22</v>
      </c>
      <c r="B70" s="28"/>
      <c r="C70" s="36">
        <f>C68+C69</f>
        <v>5</v>
      </c>
      <c r="D70" s="36">
        <f>D68+D69</f>
        <v>10</v>
      </c>
      <c r="E70" s="36">
        <f>E68+E69</f>
        <v>12</v>
      </c>
      <c r="F70" s="36">
        <f>F68+F69</f>
        <v>20784</v>
      </c>
      <c r="G70" s="37">
        <f>G68+G69</f>
        <v>93312</v>
      </c>
      <c r="H70" s="27"/>
      <c r="I70" s="27"/>
    </row>
    <row r="71" spans="1:9" x14ac:dyDescent="0.3">
      <c r="A71" s="29" t="s">
        <v>45</v>
      </c>
      <c r="B71" s="28"/>
      <c r="C71" s="39">
        <f>C62+C66+C70</f>
        <v>18</v>
      </c>
      <c r="D71" s="39">
        <f>D62+D66+D70</f>
        <v>36</v>
      </c>
      <c r="E71" s="39">
        <f>E62+E66+E70</f>
        <v>43</v>
      </c>
      <c r="F71" s="39">
        <f>F62+F66+F70</f>
        <v>74476</v>
      </c>
      <c r="G71" s="39">
        <f>G62+G66+G70</f>
        <v>411148.79999999999</v>
      </c>
      <c r="H71" s="27"/>
      <c r="I71" s="27"/>
    </row>
    <row r="73" spans="1:9" ht="15.6" x14ac:dyDescent="0.3">
      <c r="A73" s="78" t="s">
        <v>58</v>
      </c>
      <c r="B73" s="78"/>
      <c r="C73" s="78"/>
      <c r="D73" s="78"/>
    </row>
    <row r="74" spans="1:9" ht="14.55" customHeight="1" x14ac:dyDescent="0.3">
      <c r="A74" s="87" t="s">
        <v>57</v>
      </c>
      <c r="B74" s="83" t="s">
        <v>26</v>
      </c>
      <c r="C74" s="84"/>
      <c r="D74" s="85"/>
      <c r="E74" s="26"/>
      <c r="F74" s="26"/>
    </row>
    <row r="75" spans="1:9" ht="48.45" customHeight="1" x14ac:dyDescent="0.3">
      <c r="A75" s="87"/>
      <c r="B75" s="4" t="s">
        <v>56</v>
      </c>
      <c r="C75" s="4" t="s">
        <v>27</v>
      </c>
      <c r="D75" s="4" t="s">
        <v>28</v>
      </c>
      <c r="E75" s="27"/>
      <c r="F75" s="2"/>
    </row>
    <row r="76" spans="1:9" ht="18" x14ac:dyDescent="0.3">
      <c r="A76" s="3" t="s">
        <v>85</v>
      </c>
      <c r="B76" s="7">
        <f>G62</f>
        <v>185126.39999999999</v>
      </c>
      <c r="C76" s="7">
        <f>G66</f>
        <v>132710.39999999999</v>
      </c>
      <c r="D76" s="7">
        <f>G70</f>
        <v>93312</v>
      </c>
      <c r="E76" s="27"/>
      <c r="F76" s="2"/>
    </row>
    <row r="77" spans="1:9" ht="14.55" customHeight="1" x14ac:dyDescent="0.3">
      <c r="A77" s="3" t="s">
        <v>86</v>
      </c>
      <c r="B77" s="7">
        <f>B76*D24/100</f>
        <v>111075.84</v>
      </c>
      <c r="C77" s="7">
        <f>C76*D24/100</f>
        <v>79626.240000000005</v>
      </c>
      <c r="D77" s="7">
        <f>D76*D24/100</f>
        <v>55987.199999999997</v>
      </c>
      <c r="E77" s="27"/>
      <c r="F77" s="2"/>
    </row>
    <row r="78" spans="1:9" ht="15.6" x14ac:dyDescent="0.3">
      <c r="A78" s="3" t="s">
        <v>87</v>
      </c>
      <c r="B78" s="7">
        <f>B76/3*20/100</f>
        <v>12341.76</v>
      </c>
      <c r="C78" s="7">
        <f>C76/3*20/100</f>
        <v>8847.3599999999988</v>
      </c>
      <c r="D78" s="7">
        <f>D76/3*20/100</f>
        <v>6220.8</v>
      </c>
      <c r="E78" s="89"/>
      <c r="F78" s="90"/>
    </row>
    <row r="79" spans="1:9" ht="15.6" x14ac:dyDescent="0.3">
      <c r="A79" s="3" t="s">
        <v>88</v>
      </c>
      <c r="B79" s="7"/>
      <c r="C79" s="7"/>
      <c r="D79" s="7"/>
      <c r="E79" s="89"/>
      <c r="F79" s="90"/>
    </row>
    <row r="80" spans="1:9" ht="17.25" customHeight="1" x14ac:dyDescent="0.3">
      <c r="A80" s="3" t="s">
        <v>91</v>
      </c>
      <c r="B80" s="48">
        <f>B76+B77+B78+B79</f>
        <v>308544</v>
      </c>
      <c r="C80" s="48">
        <f>C76+C77+C78+C79</f>
        <v>221184</v>
      </c>
      <c r="D80" s="48">
        <f>D76+D77+D78+D79</f>
        <v>155520</v>
      </c>
      <c r="E80" s="27"/>
      <c r="F80" s="2"/>
    </row>
    <row r="81" spans="1:7" ht="17.25" customHeight="1" x14ac:dyDescent="0.3">
      <c r="A81" s="3" t="s">
        <v>89</v>
      </c>
      <c r="B81" s="77">
        <f>(D9-(D11+D12))/D14*100</f>
        <v>14.545454545454545</v>
      </c>
      <c r="C81" s="77">
        <f>(D9-(D11+D12))/D14*100</f>
        <v>14.545454545454545</v>
      </c>
      <c r="D81" s="77">
        <f>(D9-(D11+D12))/D14*100</f>
        <v>14.545454545454545</v>
      </c>
      <c r="E81" s="27"/>
      <c r="F81" s="2"/>
    </row>
    <row r="82" spans="1:7" ht="16.2" customHeight="1" x14ac:dyDescent="0.3">
      <c r="A82" s="3" t="s">
        <v>90</v>
      </c>
      <c r="B82" s="48">
        <f>B80*B81/100</f>
        <v>44879.127272727274</v>
      </c>
      <c r="C82" s="48">
        <f t="shared" ref="C82:D82" si="1">C80*C81/100</f>
        <v>32172.218181818178</v>
      </c>
      <c r="D82" s="48">
        <f t="shared" si="1"/>
        <v>22621.090909090908</v>
      </c>
      <c r="E82" s="27"/>
      <c r="F82" s="2"/>
    </row>
    <row r="83" spans="1:7" ht="15.6" x14ac:dyDescent="0.3">
      <c r="A83" s="47" t="s">
        <v>92</v>
      </c>
      <c r="B83" s="65">
        <f>B80+B82</f>
        <v>353423.12727272726</v>
      </c>
      <c r="C83" s="65">
        <f>C80+C82</f>
        <v>253356.21818181817</v>
      </c>
      <c r="D83" s="65">
        <f>D80+D82</f>
        <v>178141.09090909091</v>
      </c>
      <c r="E83" s="26"/>
      <c r="F83" s="26"/>
    </row>
    <row r="85" spans="1:7" ht="15.6" x14ac:dyDescent="0.3">
      <c r="A85" s="79" t="s">
        <v>59</v>
      </c>
      <c r="B85" s="79"/>
      <c r="C85" s="79"/>
      <c r="D85" s="79"/>
      <c r="E85" s="79"/>
      <c r="F85" s="79"/>
      <c r="G85" s="79"/>
    </row>
    <row r="86" spans="1:7" ht="26.85" customHeight="1" x14ac:dyDescent="0.3">
      <c r="A86" s="4" t="s">
        <v>62</v>
      </c>
      <c r="B86" s="88" t="s">
        <v>29</v>
      </c>
      <c r="C86" s="87" t="s">
        <v>61</v>
      </c>
      <c r="D86" s="83" t="s">
        <v>26</v>
      </c>
      <c r="E86" s="84"/>
      <c r="F86" s="84"/>
      <c r="G86" s="85"/>
    </row>
    <row r="87" spans="1:7" ht="53.7" customHeight="1" x14ac:dyDescent="0.3">
      <c r="A87" s="4"/>
      <c r="B87" s="88"/>
      <c r="C87" s="87"/>
      <c r="D87" s="4" t="s">
        <v>60</v>
      </c>
      <c r="E87" s="4" t="s">
        <v>97</v>
      </c>
      <c r="F87" s="4" t="s">
        <v>111</v>
      </c>
      <c r="G87" s="4" t="s">
        <v>30</v>
      </c>
    </row>
    <row r="88" spans="1:7" ht="15.6" x14ac:dyDescent="0.3">
      <c r="A88" s="50" t="s">
        <v>31</v>
      </c>
      <c r="B88" s="7">
        <f>D42</f>
        <v>1</v>
      </c>
      <c r="C88" s="7">
        <f>D46</f>
        <v>3150</v>
      </c>
      <c r="D88" s="7">
        <f>B88*C88*12</f>
        <v>37800</v>
      </c>
      <c r="E88" s="7">
        <f>D88*$D$24/100</f>
        <v>22680</v>
      </c>
      <c r="F88" s="7">
        <f>$D88*$B$81/100</f>
        <v>5498.181818181818</v>
      </c>
      <c r="G88" s="7">
        <f>SUM(D88:F88)</f>
        <v>65978.181818181823</v>
      </c>
    </row>
    <row r="89" spans="1:7" ht="15.6" x14ac:dyDescent="0.3">
      <c r="A89" s="3" t="s">
        <v>32</v>
      </c>
      <c r="B89" s="7">
        <f>D43</f>
        <v>3</v>
      </c>
      <c r="C89" s="7">
        <f>D47</f>
        <v>2750</v>
      </c>
      <c r="D89" s="7">
        <f t="shared" ref="D89:D90" si="2">B89*C89*12</f>
        <v>99000</v>
      </c>
      <c r="E89" s="7">
        <f t="shared" ref="E89:E90" si="3">D89*$D$24/100</f>
        <v>59400</v>
      </c>
      <c r="F89" s="7">
        <f t="shared" ref="F89:F90" si="4">$D89*$B$81/100</f>
        <v>14400</v>
      </c>
      <c r="G89" s="7">
        <f t="shared" ref="G89:G90" si="5">SUM(D89:F89)</f>
        <v>172800</v>
      </c>
    </row>
    <row r="90" spans="1:7" ht="15.6" x14ac:dyDescent="0.3">
      <c r="A90" s="3" t="s">
        <v>33</v>
      </c>
      <c r="B90" s="7">
        <f>D44</f>
        <v>1</v>
      </c>
      <c r="C90" s="7">
        <f>D48</f>
        <v>2400</v>
      </c>
      <c r="D90" s="7">
        <f t="shared" si="2"/>
        <v>28800</v>
      </c>
      <c r="E90" s="7">
        <f t="shared" si="3"/>
        <v>17280</v>
      </c>
      <c r="F90" s="7">
        <f t="shared" si="4"/>
        <v>4189.090909090909</v>
      </c>
      <c r="G90" s="7">
        <f t="shared" si="5"/>
        <v>50269.090909090912</v>
      </c>
    </row>
    <row r="91" spans="1:7" ht="15.6" x14ac:dyDescent="0.3">
      <c r="A91" s="3" t="s">
        <v>25</v>
      </c>
      <c r="B91" s="48">
        <f>B88+B89+B90</f>
        <v>5</v>
      </c>
      <c r="C91" s="13"/>
      <c r="D91" s="48">
        <f>SUM(D88:D90)</f>
        <v>165600</v>
      </c>
      <c r="E91" s="48">
        <f>SUM(E88:E90)</f>
        <v>99360</v>
      </c>
      <c r="F91" s="48">
        <f>SUM(F88:F90)</f>
        <v>24087.272727272724</v>
      </c>
      <c r="G91" s="48">
        <f>SUM(G88:G90)</f>
        <v>289047.27272727271</v>
      </c>
    </row>
    <row r="93" spans="1:7" ht="15.6" x14ac:dyDescent="0.3">
      <c r="A93" s="51" t="s">
        <v>66</v>
      </c>
    </row>
    <row r="94" spans="1:7" ht="15.6" x14ac:dyDescent="0.3">
      <c r="A94" s="3" t="s">
        <v>67</v>
      </c>
      <c r="B94" s="5" t="s">
        <v>1</v>
      </c>
    </row>
    <row r="95" spans="1:7" ht="15.6" x14ac:dyDescent="0.3">
      <c r="A95" s="3" t="s">
        <v>69</v>
      </c>
      <c r="B95" s="52">
        <f>B83+C83+D83+G91</f>
        <v>1073967.709090909</v>
      </c>
    </row>
    <row r="96" spans="1:7" ht="15.6" x14ac:dyDescent="0.3">
      <c r="A96" s="3" t="s">
        <v>70</v>
      </c>
      <c r="B96" s="52">
        <f>E71+B91</f>
        <v>48</v>
      </c>
    </row>
    <row r="97" spans="1:2" ht="15.6" x14ac:dyDescent="0.3">
      <c r="A97" s="3" t="s">
        <v>71</v>
      </c>
      <c r="B97" s="53">
        <f>B95/B96</f>
        <v>22374.327272727271</v>
      </c>
    </row>
    <row r="98" spans="1:2" ht="15.6" x14ac:dyDescent="0.3">
      <c r="A98" s="3" t="s">
        <v>72</v>
      </c>
      <c r="B98" s="53">
        <f>B97/12</f>
        <v>1864.5272727272725</v>
      </c>
    </row>
    <row r="99" spans="1:2" ht="19.95" customHeight="1" x14ac:dyDescent="0.3">
      <c r="A99" s="3" t="s">
        <v>73</v>
      </c>
      <c r="B99" s="91">
        <f>D26/B96</f>
        <v>334.16666666666669</v>
      </c>
    </row>
    <row r="100" spans="1:2" ht="29.55" customHeight="1" x14ac:dyDescent="0.3">
      <c r="A100" s="3" t="s">
        <v>105</v>
      </c>
      <c r="B100" s="91">
        <f>B101*8</f>
        <v>1.5434949961508855</v>
      </c>
    </row>
    <row r="101" spans="1:2" ht="31.2" x14ac:dyDescent="0.3">
      <c r="A101" s="3" t="s">
        <v>74</v>
      </c>
      <c r="B101" s="91">
        <f>B99/D17</f>
        <v>0.19293687451886068</v>
      </c>
    </row>
  </sheetData>
  <mergeCells count="23">
    <mergeCell ref="B86:B87"/>
    <mergeCell ref="C86:C87"/>
    <mergeCell ref="E78:E79"/>
    <mergeCell ref="F78:F79"/>
    <mergeCell ref="A74:A75"/>
    <mergeCell ref="D86:G86"/>
    <mergeCell ref="B74:D74"/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13" zoomScale="85" zoomScaleNormal="85" workbookViewId="0">
      <selection activeCell="A19" sqref="A19"/>
    </sheetView>
  </sheetViews>
  <sheetFormatPr defaultRowHeight="14.4" x14ac:dyDescent="0.3"/>
  <cols>
    <col min="1" max="1" width="110.33203125" customWidth="1"/>
  </cols>
  <sheetData>
    <row r="1" spans="1:1" ht="18" x14ac:dyDescent="0.3">
      <c r="A1" s="56" t="s">
        <v>77</v>
      </c>
    </row>
    <row r="2" spans="1:1" ht="18" x14ac:dyDescent="0.3">
      <c r="A2" s="61" t="s">
        <v>78</v>
      </c>
    </row>
    <row r="3" spans="1:1" ht="62.4" x14ac:dyDescent="0.3">
      <c r="A3" s="57" t="s">
        <v>79</v>
      </c>
    </row>
    <row r="4" spans="1:1" ht="15.6" x14ac:dyDescent="0.3">
      <c r="A4" s="58"/>
    </row>
    <row r="5" spans="1:1" ht="62.4" x14ac:dyDescent="0.3">
      <c r="A5" s="59" t="s">
        <v>80</v>
      </c>
    </row>
    <row r="6" spans="1:1" ht="15.6" x14ac:dyDescent="0.3">
      <c r="A6" s="58"/>
    </row>
    <row r="7" spans="1:1" ht="15.6" x14ac:dyDescent="0.3">
      <c r="A7" s="62" t="s">
        <v>81</v>
      </c>
    </row>
    <row r="8" spans="1:1" ht="15.6" x14ac:dyDescent="0.3">
      <c r="A8" s="58"/>
    </row>
    <row r="9" spans="1:1" ht="31.2" x14ac:dyDescent="0.3">
      <c r="A9" s="63" t="s">
        <v>82</v>
      </c>
    </row>
    <row r="10" spans="1:1" ht="15.6" x14ac:dyDescent="0.3">
      <c r="A10" s="58" t="s">
        <v>103</v>
      </c>
    </row>
    <row r="11" spans="1:1" ht="31.2" x14ac:dyDescent="0.3">
      <c r="A11" s="57" t="s">
        <v>83</v>
      </c>
    </row>
    <row r="12" spans="1:1" ht="15.6" x14ac:dyDescent="0.3">
      <c r="A12" s="58"/>
    </row>
    <row r="13" spans="1:1" ht="124.8" x14ac:dyDescent="0.3">
      <c r="A13" s="64" t="s">
        <v>84</v>
      </c>
    </row>
    <row r="14" spans="1:1" ht="67.2" x14ac:dyDescent="0.3">
      <c r="A14" s="67" t="s">
        <v>95</v>
      </c>
    </row>
    <row r="15" spans="1:1" ht="18" x14ac:dyDescent="0.3">
      <c r="A15" s="46" t="s">
        <v>104</v>
      </c>
    </row>
    <row r="16" spans="1:1" ht="109.2" x14ac:dyDescent="0.3">
      <c r="A16" s="66" t="s">
        <v>96</v>
      </c>
    </row>
    <row r="17" spans="1:1" ht="15.6" x14ac:dyDescent="0.3">
      <c r="A17" s="46" t="s">
        <v>93</v>
      </c>
    </row>
    <row r="18" spans="1:1" ht="15.6" x14ac:dyDescent="0.3">
      <c r="A18" s="46" t="s">
        <v>94</v>
      </c>
    </row>
    <row r="19" spans="1:1" ht="78" x14ac:dyDescent="0.3">
      <c r="A19" s="68" t="s">
        <v>101</v>
      </c>
    </row>
    <row r="21" spans="1:1" ht="46.8" x14ac:dyDescent="0.3">
      <c r="A21" s="60" t="s">
        <v>102</v>
      </c>
    </row>
    <row r="22" spans="1:1" ht="18" x14ac:dyDescent="0.4">
      <c r="A22" s="70" t="s">
        <v>98</v>
      </c>
    </row>
    <row r="23" spans="1:1" ht="18" x14ac:dyDescent="0.4">
      <c r="A23" s="70" t="s">
        <v>99</v>
      </c>
    </row>
    <row r="24" spans="1:1" ht="33.6" x14ac:dyDescent="0.3">
      <c r="A24" s="69" t="s">
        <v>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Бабашинский</cp:lastModifiedBy>
  <dcterms:created xsi:type="dcterms:W3CDTF">2024-02-22T06:33:23Z</dcterms:created>
  <dcterms:modified xsi:type="dcterms:W3CDTF">2026-04-10T08:41:32Z</dcterms:modified>
</cp:coreProperties>
</file>