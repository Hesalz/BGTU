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БГТУ\VI сем\Экономика IT компании\lab01\"/>
    </mc:Choice>
  </mc:AlternateContent>
  <xr:revisionPtr revIDLastSave="0" documentId="13_ncr:1_{989EDC28-65DE-4A3B-B309-517F06EF0AC9}" xr6:coauthVersionLast="47" xr6:coauthVersionMax="47" xr10:uidLastSave="{00000000-0000-0000-0000-000000000000}"/>
  <bookViews>
    <workbookView xWindow="-108" yWindow="-108" windowWidth="23256" windowHeight="13896" xr2:uid="{00000000-000D-0000-FFFF-FFFF00000000}"/>
  </bookViews>
  <sheets>
    <sheet name="Задание 1 исх. данные, решение" sheetId="1" r:id="rId1"/>
    <sheet name="Задание 1 порядок решения" sheetId="6" r:id="rId2"/>
    <sheet name="Задание 2 порядок работы" sheetId="4" r:id="rId3"/>
    <sheet name="Задание 2 исх данные, решение" sheetId="3" r:id="rId4"/>
    <sheet name="Задание 3 порядок работы" sheetId="8" r:id="rId5"/>
    <sheet name="Задание 3 исх данные, решение" sheetId="7" r:id="rId6"/>
    <sheet name="Задание 4 порядок работы" sheetId="10" r:id="rId7"/>
    <sheet name="Задание 4 исх данные, решение" sheetId="9" r:id="rId8"/>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7" i="1" l="1"/>
  <c r="L28" i="1"/>
  <c r="L29" i="1"/>
  <c r="L30" i="1"/>
  <c r="L31" i="1"/>
  <c r="L32" i="1"/>
  <c r="L33" i="1"/>
  <c r="L34" i="1" s="1"/>
  <c r="P34" i="1" s="1"/>
  <c r="J28" i="1"/>
  <c r="J29" i="1"/>
  <c r="J30" i="1"/>
  <c r="J31" i="1"/>
  <c r="J32" i="1"/>
  <c r="J33" i="1"/>
  <c r="J27" i="1"/>
  <c r="D20" i="3"/>
  <c r="D24" i="9"/>
  <c r="D23" i="9"/>
  <c r="D22" i="9"/>
  <c r="D21" i="9"/>
  <c r="D19" i="9"/>
  <c r="D11" i="9"/>
  <c r="D10" i="9"/>
  <c r="D9" i="9"/>
  <c r="P4" i="7"/>
  <c r="P5" i="7"/>
  <c r="P6" i="7"/>
  <c r="P7" i="7"/>
  <c r="P3" i="7"/>
  <c r="P19" i="7"/>
  <c r="P15" i="7"/>
  <c r="P18" i="7"/>
  <c r="P17" i="7"/>
  <c r="P16" i="7"/>
  <c r="P9" i="7"/>
  <c r="P10" i="7"/>
  <c r="P13" i="7"/>
  <c r="P12" i="7"/>
  <c r="P11" i="7"/>
  <c r="D18" i="3"/>
  <c r="D17" i="3"/>
  <c r="F34" i="1"/>
  <c r="N34" i="1" s="1"/>
  <c r="C34" i="1"/>
  <c r="B34" i="1"/>
  <c r="I28" i="1" s="1"/>
  <c r="O34" i="1" l="1"/>
  <c r="J34" i="1"/>
  <c r="K29" i="1" s="1"/>
  <c r="M34" i="1"/>
  <c r="K30" i="1"/>
  <c r="I32" i="1"/>
  <c r="I31" i="1"/>
  <c r="I30" i="1"/>
  <c r="I27" i="1"/>
  <c r="I33" i="1"/>
  <c r="I29" i="1"/>
  <c r="K27" i="1"/>
  <c r="K31" i="1" l="1"/>
  <c r="K32" i="1"/>
  <c r="K33" i="1"/>
  <c r="K28" i="1"/>
  <c r="K34" i="1" s="1"/>
  <c r="I34" i="1"/>
</calcChain>
</file>

<file path=xl/sharedStrings.xml><?xml version="1.0" encoding="utf-8"?>
<sst xmlns="http://schemas.openxmlformats.org/spreadsheetml/2006/main" count="394" uniqueCount="141">
  <si>
    <t>Методические указания</t>
  </si>
  <si>
    <t>Задача 1 вариант</t>
  </si>
  <si>
    <t>Группы ОС / тыс.руб.</t>
  </si>
  <si>
    <t>ОСн.г.</t>
  </si>
  <si>
    <t>Дата ввода ОС</t>
  </si>
  <si>
    <t>Месяцы работы вводимых ОС</t>
  </si>
  <si>
    <t>Дата вывода ОС</t>
  </si>
  <si>
    <t>Месяцы работы выводимых ОС</t>
  </si>
  <si>
    <t>Структура на н.г., %</t>
  </si>
  <si>
    <t>ОСк.г.</t>
  </si>
  <si>
    <t>Структура на к.г., %</t>
  </si>
  <si>
    <t>ОСср.г.</t>
  </si>
  <si>
    <t>Кобн (по ОСср.г.)</t>
  </si>
  <si>
    <t>Квыб (по ОСср.г.)</t>
  </si>
  <si>
    <t>Доля акт части, % (по ОСср.г.)</t>
  </si>
  <si>
    <t>Доля пассивной части, % (по ОСср.г)</t>
  </si>
  <si>
    <t>Здания</t>
  </si>
  <si>
    <t>Сооружения</t>
  </si>
  <si>
    <t>Машины и оборудование</t>
  </si>
  <si>
    <t>Инструменты</t>
  </si>
  <si>
    <t>Хоз. инвентарь</t>
  </si>
  <si>
    <t>Транспортные средства</t>
  </si>
  <si>
    <t>Прочие ОФ</t>
  </si>
  <si>
    <t>Итого</t>
  </si>
  <si>
    <t>Задача 2 вариант</t>
  </si>
  <si>
    <t>Задача 3 вариант</t>
  </si>
  <si>
    <t>Задача 4 вариант</t>
  </si>
  <si>
    <t>Задача 5 вариант</t>
  </si>
  <si>
    <t>Определить структуру ОС, коэффициенты обновления и выбытия, доли активной и пассивной части ОС</t>
  </si>
  <si>
    <t>Задача 6 вариант</t>
  </si>
  <si>
    <t>Задача 7 вариант</t>
  </si>
  <si>
    <t>Задача 8 вариант</t>
  </si>
  <si>
    <t>Задача 9 вариант</t>
  </si>
  <si>
    <t>Задача 10 вариант</t>
  </si>
  <si>
    <t>Стоимость ОСвведенных</t>
  </si>
  <si>
    <t>Стоимость ОСвыведенных</t>
  </si>
  <si>
    <t>1. Определяется количество месяцев работы ОС (введенных и выведенных ) в отчетном году. Заполняются соответствующие столбики расчетных данных</t>
  </si>
  <si>
    <t>2. Определяется стоимость ОС на конец года</t>
  </si>
  <si>
    <t>ОСк.г. = ОСн.г. + Осввед - ОСвывед</t>
  </si>
  <si>
    <t>3. Вычисляется структура ОС на начало и конец года, % (доля в общей стоимости)</t>
  </si>
  <si>
    <t>4. Рассчитывается по каждому элементу среднегодовая стоимость ОС</t>
  </si>
  <si>
    <t xml:space="preserve">ОСср год. = ОСнг + Осввед*n/12 - Освывед * (12 - n)/12,               </t>
  </si>
  <si>
    <t>где n - число месяцев работы ОС в отчетном году</t>
  </si>
  <si>
    <t>5. Рассчитывается частные показатели эффективности использования ОС - коэффициенты обновления и выбытия (по общей стоимости ОС, где зачеркнуты ячейки заполнять не надо)</t>
  </si>
  <si>
    <t>Кобн = ОСввед / ОСк.г.       Квыб = ОСвывед / ОСн.г.</t>
  </si>
  <si>
    <t>6. Рассчитывается доля активной (пассивной части) ОС в общей стоимости ОС, %. К активной части относятся следующие группы ОС: машины и оборудование, транспортные средства, инструменты. Остальные группы относятся к пассивным ОС. Структура ОС организации является прогрессивной, если активная часть превышает пассивную.</t>
  </si>
  <si>
    <t>7. Сделать вывод</t>
  </si>
  <si>
    <t>Рассчитать среднегодовую стоимость производственных основных средств и среднюю норму амортизации за отчетный период</t>
  </si>
  <si>
    <t>Задача</t>
  </si>
  <si>
    <t>Показатели</t>
  </si>
  <si>
    <t>Варианты</t>
  </si>
  <si>
    <t>Стоимость ОС на начало года, тыс. руб., в т.ч.</t>
  </si>
  <si>
    <t>непроизводственные ОС</t>
  </si>
  <si>
    <t>неустановленные ОС</t>
  </si>
  <si>
    <t>ОС в запасе</t>
  </si>
  <si>
    <t>полностью самортизированные ОС</t>
  </si>
  <si>
    <t>Введенные , руб.</t>
  </si>
  <si>
    <t>Дата ввода</t>
  </si>
  <si>
    <t>Месяцы работы</t>
  </si>
  <si>
    <t>Выведенные ОС, руб.</t>
  </si>
  <si>
    <t>Дата вывода</t>
  </si>
  <si>
    <t>Начислено амортизационных отчислений за год, тыс. руб.</t>
  </si>
  <si>
    <t>Среднегодовая стоимость ОПС, тыс. руб.</t>
  </si>
  <si>
    <t>Средняя норма амортизации, %</t>
  </si>
  <si>
    <t>1. Определяется количество месяцев работы ОС (введенных и выведенных ) в отчетном году. Заполняются соответствующие строки расчетных данных</t>
  </si>
  <si>
    <t>2. Рассчитывается  среднегодовая стоимость ОС</t>
  </si>
  <si>
    <t>где n - число месяцев работы ОС в отчетном году.</t>
  </si>
  <si>
    <t>В формуле при определении ОСн.г. учесть ОС непроизводственные, неустановленные, в запасе, полность самортизированные ОС</t>
  </si>
  <si>
    <t xml:space="preserve">3. Рассчитывается среднняя норма амортизации (На, %) исходя из формулы </t>
  </si>
  <si>
    <t>Коэффициент износа</t>
  </si>
  <si>
    <r>
      <t>АОср.г</t>
    </r>
    <r>
      <rPr>
        <b/>
        <vertAlign val="subscript"/>
        <sz val="12"/>
        <color theme="1"/>
        <rFont val="Calibri"/>
        <family val="2"/>
        <charset val="204"/>
        <scheme val="minor"/>
      </rPr>
      <t xml:space="preserve"> </t>
    </r>
    <r>
      <rPr>
        <b/>
        <sz val="12"/>
        <color theme="1"/>
        <rFont val="Calibri"/>
        <family val="2"/>
        <charset val="204"/>
        <scheme val="minor"/>
      </rPr>
      <t>= На ∙ ОСср.г. / 100</t>
    </r>
  </si>
  <si>
    <t>где АОср.г - сумма начисленных амортизационных отчислений в отчетном году (принимается линейный метод)</t>
  </si>
  <si>
    <t>Изменение ФО, %</t>
  </si>
  <si>
    <t>Изменение ФЕ, %</t>
  </si>
  <si>
    <t>Отчетный год</t>
  </si>
  <si>
    <t>Изменение ФВ, %</t>
  </si>
  <si>
    <t>Объем произодства продукции, шт.</t>
  </si>
  <si>
    <t>Изменение ТФВ, %</t>
  </si>
  <si>
    <t>А</t>
  </si>
  <si>
    <t>Изменение Rос, %</t>
  </si>
  <si>
    <t>Б</t>
  </si>
  <si>
    <t>отчет</t>
  </si>
  <si>
    <t>В</t>
  </si>
  <si>
    <t>ФО, руб.</t>
  </si>
  <si>
    <t>Цена продукции, руб./шт.</t>
  </si>
  <si>
    <t>ФЕ, руб.</t>
  </si>
  <si>
    <t>ФВ,руб.</t>
  </si>
  <si>
    <t>ТВ, руб.</t>
  </si>
  <si>
    <t>Р, %</t>
  </si>
  <si>
    <t>Себестоимость продукции, руб./шт.</t>
  </si>
  <si>
    <t>план</t>
  </si>
  <si>
    <t>Среднегодовая стоимость ОС, тыс. руб.</t>
  </si>
  <si>
    <t>в т.ч. здания, сооружения, инвентарь</t>
  </si>
  <si>
    <t>Численность работников, чел.</t>
  </si>
  <si>
    <t>Плановый год</t>
  </si>
  <si>
    <t>Рост среднегодовой стоимости ОС, %</t>
  </si>
  <si>
    <t>в т.ч. здания, сооружения, инвентарь, %</t>
  </si>
  <si>
    <t>Сокращение численности работников, %</t>
  </si>
  <si>
    <t>Задание</t>
  </si>
  <si>
    <t>Проанализировать изменение уровня использования ОС (темпы изменения плановых обобщающих показателей к отчетному году)</t>
  </si>
  <si>
    <t xml:space="preserve">Таблица 1 Показатели </t>
  </si>
  <si>
    <t>Таблица 2</t>
  </si>
  <si>
    <t>При решении задания 3 необходимо заполнить таблицу 2. Соответственно рассчитать показатели отчетного периода (фондоотдачу (ФО), фондоемкость (ФЕ), фондовооруженность (ФВ), техническую вооруженность труда (ТВ), рентабельность (Р) ОС), затем эти же показатели планового периода. Далее определить темп изменения всех показателей, % (плановые показатели по отношению к отчетным)</t>
  </si>
  <si>
    <t>ФО = ПП / ОСср.г, где ПП – объем произведен-ной продукции, руб.</t>
  </si>
  <si>
    <r>
      <t>ФЕ = ОС</t>
    </r>
    <r>
      <rPr>
        <b/>
        <vertAlign val="subscript"/>
        <sz val="14"/>
        <color theme="1"/>
        <rFont val="Calibri"/>
        <family val="2"/>
        <charset val="204"/>
        <scheme val="minor"/>
      </rPr>
      <t>ср.г</t>
    </r>
    <r>
      <rPr>
        <b/>
        <sz val="12"/>
        <color theme="1"/>
        <rFont val="Calibri"/>
        <family val="2"/>
        <charset val="204"/>
        <scheme val="minor"/>
      </rPr>
      <t xml:space="preserve"> / ПП</t>
    </r>
  </si>
  <si>
    <t>ФВ = ОСср.г / Ч, где Ч - численность персонала</t>
  </si>
  <si>
    <t>ТВ =активная часть ОСср.г / Ч</t>
  </si>
  <si>
    <r>
      <t>Р</t>
    </r>
    <r>
      <rPr>
        <b/>
        <vertAlign val="subscript"/>
        <sz val="12"/>
        <color theme="1"/>
        <rFont val="Calibri"/>
        <family val="2"/>
        <charset val="204"/>
        <scheme val="minor"/>
      </rPr>
      <t>оф</t>
    </r>
    <r>
      <rPr>
        <b/>
        <sz val="12"/>
        <color theme="1"/>
        <rFont val="Calibri"/>
        <family val="2"/>
        <charset val="204"/>
        <scheme val="minor"/>
      </rPr>
      <t xml:space="preserve"> = П</t>
    </r>
    <r>
      <rPr>
        <b/>
        <vertAlign val="subscript"/>
        <sz val="12"/>
        <color theme="1"/>
        <rFont val="Calibri"/>
        <family val="2"/>
        <charset val="204"/>
        <scheme val="minor"/>
      </rPr>
      <t>отч</t>
    </r>
    <r>
      <rPr>
        <b/>
        <sz val="12"/>
        <color theme="1"/>
        <rFont val="Calibri"/>
        <family val="2"/>
        <charset val="204"/>
        <scheme val="minor"/>
      </rPr>
      <t xml:space="preserve"> / ОС</t>
    </r>
    <r>
      <rPr>
        <b/>
        <vertAlign val="subscript"/>
        <sz val="12"/>
        <color theme="1"/>
        <rFont val="Calibri"/>
        <family val="2"/>
        <charset val="204"/>
        <scheme val="minor"/>
      </rPr>
      <t>ср.г</t>
    </r>
    <r>
      <rPr>
        <b/>
        <sz val="12"/>
        <color theme="1"/>
        <rFont val="Calibri"/>
        <family val="2"/>
        <charset val="204"/>
        <scheme val="minor"/>
      </rPr>
      <t xml:space="preserve"> ∙ 100, где Потч – прибыль отчетного периода, руб.</t>
    </r>
  </si>
  <si>
    <t>1. Расчет показателей производится по формулам (по плану и по отчету). В плановом периоде учесть изменение исходных данных</t>
  </si>
  <si>
    <t>Темп изменения = ФОплан / ФОотчет *100</t>
  </si>
  <si>
    <t>2. Рассчитываются темпы изменения показателей (см пример). Сделать вывод об эффективности использования ОС в плановом периоде</t>
  </si>
  <si>
    <t>Средний фактический срок эксплуатации, лет</t>
  </si>
  <si>
    <r>
      <t>Кизн = АО за период экспл</t>
    </r>
    <r>
      <rPr>
        <b/>
        <sz val="12"/>
        <color theme="1"/>
        <rFont val="Calibri"/>
        <family val="2"/>
        <charset val="204"/>
      </rPr>
      <t xml:space="preserve"> </t>
    </r>
    <r>
      <rPr>
        <b/>
        <sz val="12"/>
        <color theme="1"/>
        <rFont val="Calibri"/>
        <family val="2"/>
        <charset val="204"/>
        <scheme val="minor"/>
      </rPr>
      <t>/ ОСср.г</t>
    </r>
  </si>
  <si>
    <t>Рассчитать показатели использования Оборотных средств (ОбС)</t>
  </si>
  <si>
    <t>Задача 1</t>
  </si>
  <si>
    <t>Длительность оборота оборотных средств факт, дни</t>
  </si>
  <si>
    <t>Длительность оборота оборотных средств план, дни</t>
  </si>
  <si>
    <t>Средний остаток ОбС за период, тыс. руб.</t>
  </si>
  <si>
    <t>Число дней в периодне, дни</t>
  </si>
  <si>
    <t>Реализованная продукция факт, тыс. руб.</t>
  </si>
  <si>
    <t>Реализованная продукция план, тыс. руб.</t>
  </si>
  <si>
    <t>Прирост реализованной продукции, тыс. руб.</t>
  </si>
  <si>
    <t>Задача 2</t>
  </si>
  <si>
    <t>Реализованная продукция, тыс. руб.</t>
  </si>
  <si>
    <t>Средний остаток ОбС за период факт, тыс. руб.</t>
  </si>
  <si>
    <t>Коэффициент оборачиваемости факт</t>
  </si>
  <si>
    <t>Коэффициент оборачиваемости план</t>
  </si>
  <si>
    <t>Средний остаток ОбС за период план, тыс. руб.</t>
  </si>
  <si>
    <t>Размер высвобождаемых ОбС, тыс. руб.</t>
  </si>
  <si>
    <t>Методические указания 1</t>
  </si>
  <si>
    <t>1. Определяется объем реализованной продукции (РП) за фактический и плановый периоды исходя из формул</t>
  </si>
  <si>
    <r>
      <t>Т</t>
    </r>
    <r>
      <rPr>
        <vertAlign val="subscript"/>
        <sz val="12"/>
        <color theme="1"/>
        <rFont val="Calibri"/>
        <family val="2"/>
        <charset val="204"/>
        <scheme val="minor"/>
      </rPr>
      <t>об</t>
    </r>
    <r>
      <rPr>
        <sz val="12"/>
        <color theme="1"/>
        <rFont val="Calibri"/>
        <family val="2"/>
        <charset val="204"/>
        <scheme val="minor"/>
      </rPr>
      <t xml:space="preserve"> = Д</t>
    </r>
    <r>
      <rPr>
        <vertAlign val="subscript"/>
        <sz val="12"/>
        <color theme="1"/>
        <rFont val="Calibri"/>
        <family val="2"/>
        <charset val="204"/>
        <scheme val="minor"/>
      </rPr>
      <t>к</t>
    </r>
    <r>
      <rPr>
        <sz val="12"/>
        <color theme="1"/>
        <rFont val="Calibri"/>
        <family val="2"/>
        <charset val="204"/>
        <scheme val="minor"/>
      </rPr>
      <t xml:space="preserve"> / К</t>
    </r>
    <r>
      <rPr>
        <vertAlign val="subscript"/>
        <sz val="12"/>
        <color theme="1"/>
        <rFont val="Calibri"/>
        <family val="2"/>
        <charset val="204"/>
        <scheme val="minor"/>
      </rPr>
      <t xml:space="preserve">об     </t>
    </r>
  </si>
  <si>
    <r>
      <t>К</t>
    </r>
    <r>
      <rPr>
        <vertAlign val="subscript"/>
        <sz val="12"/>
        <color theme="1"/>
        <rFont val="Calibri"/>
        <family val="2"/>
        <charset val="204"/>
        <scheme val="minor"/>
      </rPr>
      <t xml:space="preserve">об </t>
    </r>
    <r>
      <rPr>
        <sz val="12"/>
        <color theme="1"/>
        <rFont val="Calibri"/>
        <family val="2"/>
        <charset val="204"/>
        <scheme val="minor"/>
      </rPr>
      <t xml:space="preserve">= РП / ОбС    </t>
    </r>
  </si>
  <si>
    <t xml:space="preserve">где РП – объем реализованной продукции, руб.; ОбС – средний остаток оборотных средств за расчетный период, руб., Дк − число календарных дней в расчетном периоде, Тоб - длительность одного оборота в днях </t>
  </si>
  <si>
    <t>2. Рассчитывается  прирост реализованной продукции (плановое значение минус фактическое)</t>
  </si>
  <si>
    <t>Методические указания 2</t>
  </si>
  <si>
    <t>1. Определяется коэффициент оборачиваемости ОбС по факту (Коб)</t>
  </si>
  <si>
    <t>3. Рассчитывается  длительность одного оборота и объем средних остатков ОбС  реализованной продукции исходя из формул</t>
  </si>
  <si>
    <t>4. Рассчитыватся сумма высвобожденных оборотных средств (ОбС) (плановое значение минус фактическое)</t>
  </si>
  <si>
    <t>Длительность одного оборота ОбС факт, дни</t>
  </si>
  <si>
    <t>Длительность одного оборота ОбСплан, дни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</si>
</sst>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19]d\ mmm;@"/>
    <numFmt numFmtId="166" formatCode="0.0"/>
  </numFmts>
  <fonts count="28" x14ac:knownFonts="1">
    <font>
      <sz val="11"/>
      <color theme="1"/>
      <name val="Calibri"/>
      <family val="2"/>
      <charset val="204"/>
      <scheme val="minor"/>
    </font>
    <font>
      <b/>
      <sz val="11"/>
      <color theme="1"/>
      <name val="Calibri"/>
      <family val="2"/>
      <charset val="204"/>
      <scheme val="minor"/>
    </font>
    <font>
      <b/>
      <i/>
      <sz val="14"/>
      <color rgb="FFC00000"/>
      <name val="Calibri"/>
      <family val="2"/>
      <charset val="204"/>
      <scheme val="minor"/>
    </font>
    <font>
      <sz val="12"/>
      <color rgb="FF000000"/>
      <name val="Calibri"/>
      <family val="2"/>
      <charset val="204"/>
      <scheme val="minor"/>
    </font>
    <font>
      <b/>
      <sz val="12"/>
      <color theme="1"/>
      <name val="Calibri"/>
      <family val="2"/>
      <charset val="204"/>
      <scheme val="minor"/>
    </font>
    <font>
      <sz val="12"/>
      <color theme="1"/>
      <name val="Calibri"/>
      <family val="2"/>
      <charset val="204"/>
      <scheme val="minor"/>
    </font>
    <font>
      <b/>
      <i/>
      <sz val="12"/>
      <color rgb="FFFF0000"/>
      <name val="Calibri"/>
      <family val="2"/>
      <charset val="204"/>
      <scheme val="minor"/>
    </font>
    <font>
      <i/>
      <sz val="12"/>
      <color theme="1"/>
      <name val="Calibri"/>
      <family val="2"/>
      <charset val="204"/>
      <scheme val="minor"/>
    </font>
    <font>
      <sz val="10"/>
      <color theme="1"/>
      <name val="Calibri"/>
      <family val="2"/>
      <charset val="204"/>
      <scheme val="minor"/>
    </font>
    <font>
      <b/>
      <sz val="10"/>
      <color theme="1"/>
      <name val="Calibri"/>
      <family val="2"/>
      <charset val="204"/>
      <scheme val="minor"/>
    </font>
    <font>
      <b/>
      <i/>
      <sz val="11"/>
      <color rgb="FFFF0000"/>
      <name val="Calibri"/>
      <family val="2"/>
      <charset val="204"/>
      <scheme val="minor"/>
    </font>
    <font>
      <b/>
      <sz val="10"/>
      <color theme="1"/>
      <name val="Times New Roman"/>
      <family val="1"/>
      <charset val="204"/>
    </font>
    <font>
      <sz val="10"/>
      <color theme="1"/>
      <name val="Times New Roman"/>
      <family val="1"/>
      <charset val="204"/>
    </font>
    <font>
      <b/>
      <sz val="10"/>
      <name val="Calibri"/>
      <family val="2"/>
      <charset val="204"/>
      <scheme val="minor"/>
    </font>
    <font>
      <b/>
      <i/>
      <sz val="12"/>
      <color rgb="FFC00000"/>
      <name val="Calibri"/>
      <family val="2"/>
      <charset val="204"/>
      <scheme val="minor"/>
    </font>
    <font>
      <b/>
      <vertAlign val="subscript"/>
      <sz val="12"/>
      <color theme="1"/>
      <name val="Calibri"/>
      <family val="2"/>
      <charset val="204"/>
      <scheme val="minor"/>
    </font>
    <font>
      <b/>
      <i/>
      <sz val="9"/>
      <color rgb="FFFF0000"/>
      <name val="Calibri"/>
      <family val="2"/>
      <charset val="204"/>
      <scheme val="minor"/>
    </font>
    <font>
      <sz val="9"/>
      <color theme="1"/>
      <name val="Calibri"/>
      <family val="2"/>
      <charset val="204"/>
      <scheme val="minor"/>
    </font>
    <font>
      <b/>
      <sz val="9"/>
      <color theme="1"/>
      <name val="Times New Roman"/>
      <family val="1"/>
      <charset val="204"/>
    </font>
    <font>
      <b/>
      <i/>
      <sz val="11"/>
      <color theme="1"/>
      <name val="Calibri"/>
      <family val="2"/>
      <charset val="204"/>
      <scheme val="minor"/>
    </font>
    <font>
      <b/>
      <i/>
      <sz val="14"/>
      <color rgb="FFFF0000"/>
      <name val="Calibri"/>
      <family val="2"/>
      <charset val="204"/>
      <scheme val="minor"/>
    </font>
    <font>
      <b/>
      <sz val="12"/>
      <name val="Calibri"/>
      <family val="2"/>
      <charset val="204"/>
      <scheme val="minor"/>
    </font>
    <font>
      <b/>
      <vertAlign val="subscript"/>
      <sz val="14"/>
      <color theme="1"/>
      <name val="Calibri"/>
      <family val="2"/>
      <charset val="204"/>
      <scheme val="minor"/>
    </font>
    <font>
      <b/>
      <sz val="14"/>
      <name val="Times New Roman"/>
      <family val="1"/>
      <charset val="204"/>
    </font>
    <font>
      <b/>
      <sz val="14"/>
      <name val="Calibri"/>
      <family val="2"/>
      <charset val="204"/>
      <scheme val="minor"/>
    </font>
    <font>
      <b/>
      <sz val="12"/>
      <color theme="1"/>
      <name val="Calibri"/>
      <family val="2"/>
      <charset val="204"/>
    </font>
    <font>
      <vertAlign val="subscript"/>
      <sz val="12"/>
      <color theme="1"/>
      <name val="Calibri"/>
      <family val="2"/>
      <charset val="204"/>
      <scheme val="minor"/>
    </font>
    <font>
      <sz val="12"/>
      <color theme="1"/>
      <name val="Times New Roman"/>
      <family val="1"/>
      <charset val="204"/>
    </font>
  </fonts>
  <fills count="5">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lightUp"/>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69">
    <xf numFmtId="0" fontId="0" fillId="0" borderId="0" xfId="0"/>
    <xf numFmtId="0" fontId="2" fillId="0" borderId="0" xfId="0" applyFont="1" applyAlignment="1">
      <alignment horizontal="center" vertical="center"/>
    </xf>
    <xf numFmtId="0" fontId="3" fillId="2" borderId="0" xfId="0" applyFont="1" applyFill="1" applyAlignment="1">
      <alignment horizontal="justify" vertical="center"/>
    </xf>
    <xf numFmtId="0" fontId="4" fillId="0" borderId="0" xfId="0" applyFont="1" applyAlignment="1">
      <alignment horizontal="center" vertical="center"/>
    </xf>
    <xf numFmtId="0" fontId="5" fillId="3" borderId="0" xfId="0" applyFont="1" applyFill="1" applyAlignment="1">
      <alignment horizontal="justify" vertical="center"/>
    </xf>
    <xf numFmtId="0" fontId="5" fillId="2" borderId="0" xfId="0" applyFont="1" applyFill="1" applyAlignment="1">
      <alignment horizontal="left" vertical="center"/>
    </xf>
    <xf numFmtId="0" fontId="5" fillId="3" borderId="0" xfId="0" applyFont="1" applyFill="1" applyAlignment="1">
      <alignment horizontal="left" vertical="center" wrapText="1"/>
    </xf>
    <xf numFmtId="0" fontId="6" fillId="0" borderId="0" xfId="0" applyFont="1"/>
    <xf numFmtId="0" fontId="7" fillId="0" borderId="0" xfId="0" applyFont="1"/>
    <xf numFmtId="0" fontId="5" fillId="0" borderId="0" xfId="0" applyFont="1"/>
    <xf numFmtId="0" fontId="1" fillId="3" borderId="0" xfId="0" applyFont="1" applyFill="1"/>
    <xf numFmtId="0" fontId="8" fillId="0" borderId="3" xfId="0" applyFont="1" applyBorder="1"/>
    <xf numFmtId="1" fontId="8" fillId="0" borderId="3" xfId="0" applyNumberFormat="1" applyFont="1" applyBorder="1" applyAlignment="1">
      <alignment horizontal="center"/>
    </xf>
    <xf numFmtId="0" fontId="8" fillId="0" borderId="3" xfId="0" applyFont="1" applyBorder="1" applyAlignment="1">
      <alignment horizontal="center"/>
    </xf>
    <xf numFmtId="16" fontId="8" fillId="0" borderId="3" xfId="0" applyNumberFormat="1" applyFont="1" applyBorder="1" applyAlignment="1">
      <alignment horizontal="center"/>
    </xf>
    <xf numFmtId="2" fontId="8" fillId="0" borderId="3" xfId="0" applyNumberFormat="1" applyFont="1" applyBorder="1" applyAlignment="1">
      <alignment horizontal="center"/>
    </xf>
    <xf numFmtId="0" fontId="8" fillId="4" borderId="3" xfId="0" applyFont="1" applyFill="1" applyBorder="1"/>
    <xf numFmtId="0" fontId="9" fillId="0" borderId="3" xfId="0" applyFont="1" applyBorder="1"/>
    <xf numFmtId="1" fontId="9" fillId="0" borderId="3" xfId="0" applyNumberFormat="1" applyFont="1" applyBorder="1" applyAlignment="1">
      <alignment horizontal="center"/>
    </xf>
    <xf numFmtId="2" fontId="9" fillId="0" borderId="3" xfId="0" applyNumberFormat="1" applyFont="1" applyBorder="1" applyAlignment="1">
      <alignment horizontal="center"/>
    </xf>
    <xf numFmtId="164" fontId="9" fillId="0" borderId="3" xfId="0" applyNumberFormat="1" applyFont="1" applyBorder="1" applyAlignment="1">
      <alignment horizontal="center"/>
    </xf>
    <xf numFmtId="0" fontId="9" fillId="0" borderId="3" xfId="0" applyFont="1" applyBorder="1" applyAlignment="1">
      <alignment horizontal="center"/>
    </xf>
    <xf numFmtId="165" fontId="8" fillId="0" borderId="3" xfId="0" applyNumberFormat="1" applyFont="1" applyBorder="1" applyAlignment="1">
      <alignment horizontal="center"/>
    </xf>
    <xf numFmtId="0" fontId="4" fillId="0" borderId="0" xfId="0" applyFont="1" applyAlignment="1">
      <alignment horizontal="center"/>
    </xf>
    <xf numFmtId="0" fontId="5" fillId="2" borderId="0" xfId="0" applyFont="1" applyFill="1" applyAlignment="1">
      <alignment horizontal="left" vertical="center" wrapText="1"/>
    </xf>
    <xf numFmtId="0" fontId="4" fillId="0" borderId="0" xfId="0" applyFont="1"/>
    <xf numFmtId="0" fontId="5" fillId="2" borderId="0" xfId="0" applyFont="1" applyFill="1"/>
    <xf numFmtId="0" fontId="10" fillId="0" borderId="0" xfId="0" applyFont="1"/>
    <xf numFmtId="0" fontId="8" fillId="0" borderId="0" xfId="0" applyFont="1"/>
    <xf numFmtId="0" fontId="11" fillId="2" borderId="3" xfId="0" applyFont="1" applyFill="1" applyBorder="1" applyAlignment="1">
      <alignment horizontal="center" vertical="top" wrapText="1"/>
    </xf>
    <xf numFmtId="0" fontId="8" fillId="0" borderId="3" xfId="0" applyFont="1" applyBorder="1" applyAlignment="1">
      <alignment horizontal="left"/>
    </xf>
    <xf numFmtId="0" fontId="8" fillId="0" borderId="3" xfId="0" applyFont="1" applyBorder="1" applyAlignment="1">
      <alignment horizontal="right"/>
    </xf>
    <xf numFmtId="0" fontId="13" fillId="3" borderId="3" xfId="0" applyFont="1" applyFill="1" applyBorder="1"/>
    <xf numFmtId="0" fontId="13" fillId="3" borderId="3" xfId="0" applyFont="1" applyFill="1" applyBorder="1" applyAlignment="1">
      <alignment horizontal="center"/>
    </xf>
    <xf numFmtId="0" fontId="8" fillId="0" borderId="3" xfId="0" applyFont="1" applyBorder="1" applyAlignment="1">
      <alignment wrapText="1"/>
    </xf>
    <xf numFmtId="0" fontId="9" fillId="3" borderId="3" xfId="0" applyFont="1" applyFill="1" applyBorder="1"/>
    <xf numFmtId="166" fontId="13" fillId="3" borderId="3" xfId="0" applyNumberFormat="1" applyFont="1" applyFill="1" applyBorder="1" applyAlignment="1">
      <alignment horizontal="center"/>
    </xf>
    <xf numFmtId="0" fontId="14" fillId="0" borderId="0" xfId="0" applyFont="1" applyAlignment="1">
      <alignment horizontal="center" vertical="center"/>
    </xf>
    <xf numFmtId="0" fontId="5" fillId="0" borderId="0" xfId="0" applyFont="1" applyAlignment="1">
      <alignment wrapText="1"/>
    </xf>
    <xf numFmtId="0" fontId="5" fillId="0" borderId="0" xfId="0" applyFont="1" applyAlignment="1">
      <alignment horizontal="left" wrapText="1"/>
    </xf>
    <xf numFmtId="0" fontId="1" fillId="3" borderId="3" xfId="0" applyFont="1" applyFill="1" applyBorder="1"/>
    <xf numFmtId="164" fontId="1" fillId="3" borderId="3" xfId="0" applyNumberFormat="1" applyFont="1" applyFill="1" applyBorder="1" applyAlignment="1">
      <alignment horizontal="center"/>
    </xf>
    <xf numFmtId="0" fontId="5" fillId="3" borderId="0" xfId="0" applyFont="1" applyFill="1"/>
    <xf numFmtId="0" fontId="16" fillId="0" borderId="0" xfId="0" applyFont="1"/>
    <xf numFmtId="0" fontId="17" fillId="0" borderId="0" xfId="0" applyFont="1"/>
    <xf numFmtId="0" fontId="11" fillId="3" borderId="3" xfId="0" applyFont="1" applyFill="1" applyBorder="1" applyAlignment="1">
      <alignment horizontal="center" vertical="top" wrapText="1"/>
    </xf>
    <xf numFmtId="0" fontId="1" fillId="0" borderId="3" xfId="0" applyFont="1" applyBorder="1"/>
    <xf numFmtId="2" fontId="0" fillId="0" borderId="3" xfId="0" applyNumberFormat="1" applyBorder="1"/>
    <xf numFmtId="0" fontId="18" fillId="2" borderId="3" xfId="0" applyFont="1" applyFill="1" applyBorder="1" applyAlignment="1">
      <alignment horizontal="center" vertical="top" wrapText="1"/>
    </xf>
    <xf numFmtId="0" fontId="17" fillId="0" borderId="3" xfId="0" applyFont="1" applyBorder="1"/>
    <xf numFmtId="0" fontId="19" fillId="3" borderId="3" xfId="0" applyFont="1" applyFill="1" applyBorder="1"/>
    <xf numFmtId="2" fontId="0" fillId="0" borderId="0" xfId="0" applyNumberFormat="1"/>
    <xf numFmtId="0" fontId="8" fillId="0" borderId="4" xfId="0" applyFont="1" applyBorder="1"/>
    <xf numFmtId="0" fontId="20" fillId="0" borderId="0" xfId="0" applyFont="1"/>
    <xf numFmtId="0" fontId="21" fillId="0" borderId="0" xfId="0" applyFont="1" applyAlignment="1">
      <alignment horizontal="left" vertical="center" wrapText="1"/>
    </xf>
    <xf numFmtId="0" fontId="5" fillId="3" borderId="0" xfId="0" applyFont="1" applyFill="1" applyAlignment="1">
      <alignment wrapText="1"/>
    </xf>
    <xf numFmtId="0" fontId="24" fillId="3" borderId="3" xfId="0" applyFont="1" applyFill="1" applyBorder="1"/>
    <xf numFmtId="166" fontId="13" fillId="0" borderId="3" xfId="0" applyNumberFormat="1" applyFont="1" applyBorder="1" applyAlignment="1">
      <alignment horizontal="center"/>
    </xf>
    <xf numFmtId="0" fontId="5" fillId="0" borderId="0" xfId="0" applyFont="1" applyAlignment="1">
      <alignment horizontal="center" vertical="center"/>
    </xf>
    <xf numFmtId="0" fontId="27" fillId="0" borderId="0" xfId="0" applyFont="1" applyAlignment="1">
      <alignment horizontal="center" vertical="center"/>
    </xf>
    <xf numFmtId="0" fontId="5" fillId="0" borderId="0" xfId="0" applyFont="1" applyAlignment="1">
      <alignment horizontal="justify" vertical="center"/>
    </xf>
    <xf numFmtId="0" fontId="13" fillId="0" borderId="3" xfId="0" applyFont="1" applyBorder="1"/>
    <xf numFmtId="2" fontId="13" fillId="3" borderId="3" xfId="0" applyNumberFormat="1" applyFont="1" applyFill="1" applyBorder="1" applyAlignment="1">
      <alignment horizontal="center"/>
    </xf>
    <xf numFmtId="2" fontId="8" fillId="2" borderId="1" xfId="0" applyNumberFormat="1" applyFont="1" applyFill="1" applyBorder="1" applyAlignment="1">
      <alignment horizontal="center" wrapText="1"/>
    </xf>
    <xf numFmtId="2" fontId="8" fillId="2" borderId="2" xfId="0" applyNumberFormat="1" applyFont="1" applyFill="1" applyBorder="1" applyAlignment="1">
      <alignment horizontal="center" wrapText="1"/>
    </xf>
    <xf numFmtId="0" fontId="11" fillId="2" borderId="3" xfId="0" applyFont="1" applyFill="1" applyBorder="1" applyAlignment="1">
      <alignment horizontal="center" vertical="top" wrapText="1"/>
    </xf>
    <xf numFmtId="0" fontId="12" fillId="2" borderId="3" xfId="0" applyFont="1" applyFill="1" applyBorder="1" applyAlignment="1">
      <alignment horizontal="center" vertical="top" wrapText="1"/>
    </xf>
    <xf numFmtId="0" fontId="23" fillId="2" borderId="3" xfId="0" applyFont="1" applyFill="1" applyBorder="1" applyAlignment="1">
      <alignment horizontal="center" vertical="top" wrapText="1"/>
    </xf>
    <xf numFmtId="0" fontId="18" fillId="2" borderId="3" xfId="0" applyFont="1" applyFill="1" applyBorder="1" applyAlignment="1">
      <alignment horizontal="center"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1"/>
  <sheetViews>
    <sheetView tabSelected="1" topLeftCell="A17" workbookViewId="0">
      <selection activeCell="L27" sqref="L27"/>
    </sheetView>
  </sheetViews>
  <sheetFormatPr defaultRowHeight="14.4" x14ac:dyDescent="0.3"/>
  <cols>
    <col min="1" max="1" width="28.44140625" customWidth="1"/>
    <col min="3" max="3" width="12.21875" customWidth="1"/>
    <col min="5" max="5" width="10.77734375" customWidth="1"/>
    <col min="6" max="6" width="9.88671875" customWidth="1"/>
    <col min="8" max="8" width="10.77734375" customWidth="1"/>
    <col min="16" max="16" width="9.88671875" customWidth="1"/>
  </cols>
  <sheetData>
    <row r="1" spans="1:16" ht="15.6" x14ac:dyDescent="0.3">
      <c r="A1" s="7" t="s">
        <v>28</v>
      </c>
      <c r="B1" s="8"/>
      <c r="C1" s="8"/>
      <c r="D1" s="8"/>
      <c r="E1" s="8"/>
      <c r="F1" s="8"/>
      <c r="G1" s="8"/>
      <c r="H1" s="8"/>
      <c r="I1" s="9"/>
      <c r="J1" s="9"/>
    </row>
    <row r="2" spans="1:16" x14ac:dyDescent="0.3">
      <c r="A2" s="10" t="s">
        <v>1</v>
      </c>
    </row>
    <row r="3" spans="1:16" x14ac:dyDescent="0.3">
      <c r="A3" s="63" t="s">
        <v>2</v>
      </c>
      <c r="B3" s="63" t="s">
        <v>3</v>
      </c>
      <c r="C3" s="63" t="s">
        <v>34</v>
      </c>
      <c r="D3" s="63" t="s">
        <v>4</v>
      </c>
      <c r="E3" s="63" t="s">
        <v>5</v>
      </c>
      <c r="F3" s="63" t="s">
        <v>35</v>
      </c>
      <c r="G3" s="63" t="s">
        <v>6</v>
      </c>
      <c r="H3" s="63" t="s">
        <v>7</v>
      </c>
      <c r="I3" s="63" t="s">
        <v>8</v>
      </c>
      <c r="J3" s="63" t="s">
        <v>9</v>
      </c>
      <c r="K3" s="63" t="s">
        <v>10</v>
      </c>
      <c r="L3" s="63" t="s">
        <v>11</v>
      </c>
      <c r="M3" s="63" t="s">
        <v>12</v>
      </c>
      <c r="N3" s="63" t="s">
        <v>13</v>
      </c>
      <c r="O3" s="63" t="s">
        <v>14</v>
      </c>
      <c r="P3" s="63" t="s">
        <v>15</v>
      </c>
    </row>
    <row r="4" spans="1:16" ht="40.799999999999997" customHeight="1" x14ac:dyDescent="0.3">
      <c r="A4" s="64"/>
      <c r="B4" s="64"/>
      <c r="C4" s="64"/>
      <c r="D4" s="64"/>
      <c r="E4" s="64"/>
      <c r="F4" s="64"/>
      <c r="G4" s="64"/>
      <c r="H4" s="64"/>
      <c r="I4" s="64"/>
      <c r="J4" s="64"/>
      <c r="K4" s="64"/>
      <c r="L4" s="64"/>
      <c r="M4" s="64"/>
      <c r="N4" s="64"/>
      <c r="O4" s="64"/>
      <c r="P4" s="64"/>
    </row>
    <row r="5" spans="1:16" x14ac:dyDescent="0.3">
      <c r="A5" s="11" t="s">
        <v>16</v>
      </c>
      <c r="B5" s="12">
        <v>3100</v>
      </c>
      <c r="C5" s="12">
        <v>0</v>
      </c>
      <c r="D5" s="13">
        <v>0</v>
      </c>
      <c r="E5" s="12"/>
      <c r="F5" s="13">
        <v>24</v>
      </c>
      <c r="G5" s="14">
        <v>44986</v>
      </c>
      <c r="H5" s="12"/>
      <c r="I5" s="15"/>
      <c r="J5" s="12"/>
      <c r="K5" s="15"/>
      <c r="L5" s="12"/>
      <c r="M5" s="16"/>
      <c r="N5" s="16"/>
      <c r="O5" s="16"/>
      <c r="P5" s="16"/>
    </row>
    <row r="6" spans="1:16" x14ac:dyDescent="0.3">
      <c r="A6" s="11" t="s">
        <v>17</v>
      </c>
      <c r="B6" s="12">
        <v>200</v>
      </c>
      <c r="C6" s="12">
        <v>5</v>
      </c>
      <c r="D6" s="14">
        <v>44958</v>
      </c>
      <c r="E6" s="12"/>
      <c r="F6" s="13">
        <v>5</v>
      </c>
      <c r="G6" s="14">
        <v>45017</v>
      </c>
      <c r="H6" s="12"/>
      <c r="I6" s="15"/>
      <c r="J6" s="12"/>
      <c r="K6" s="15"/>
      <c r="L6" s="12"/>
      <c r="M6" s="16"/>
      <c r="N6" s="16"/>
      <c r="O6" s="16"/>
      <c r="P6" s="16"/>
    </row>
    <row r="7" spans="1:16" x14ac:dyDescent="0.3">
      <c r="A7" s="11" t="s">
        <v>18</v>
      </c>
      <c r="B7" s="12">
        <v>960</v>
      </c>
      <c r="C7" s="12">
        <v>16</v>
      </c>
      <c r="D7" s="14">
        <v>45047</v>
      </c>
      <c r="E7" s="12"/>
      <c r="F7" s="13">
        <v>16</v>
      </c>
      <c r="G7" s="14">
        <v>45139</v>
      </c>
      <c r="H7" s="12"/>
      <c r="I7" s="15"/>
      <c r="J7" s="12"/>
      <c r="K7" s="15"/>
      <c r="L7" s="12"/>
      <c r="M7" s="16"/>
      <c r="N7" s="16"/>
      <c r="O7" s="16"/>
      <c r="P7" s="16"/>
    </row>
    <row r="8" spans="1:16" x14ac:dyDescent="0.3">
      <c r="A8" s="11" t="s">
        <v>19</v>
      </c>
      <c r="B8" s="12">
        <v>240</v>
      </c>
      <c r="C8" s="12">
        <v>10</v>
      </c>
      <c r="D8" s="14">
        <v>45139</v>
      </c>
      <c r="E8" s="12"/>
      <c r="F8" s="13">
        <v>17</v>
      </c>
      <c r="G8" s="14">
        <v>45170</v>
      </c>
      <c r="H8" s="12"/>
      <c r="I8" s="15"/>
      <c r="J8" s="12"/>
      <c r="K8" s="15"/>
      <c r="L8" s="12"/>
      <c r="M8" s="16"/>
      <c r="N8" s="16"/>
      <c r="O8" s="16"/>
      <c r="P8" s="16"/>
    </row>
    <row r="9" spans="1:16" x14ac:dyDescent="0.3">
      <c r="A9" s="11" t="s">
        <v>20</v>
      </c>
      <c r="B9" s="12">
        <v>400</v>
      </c>
      <c r="C9" s="12">
        <v>12</v>
      </c>
      <c r="D9" s="14">
        <v>45108</v>
      </c>
      <c r="E9" s="12"/>
      <c r="F9" s="13">
        <v>11</v>
      </c>
      <c r="G9" s="14">
        <v>44958</v>
      </c>
      <c r="H9" s="12"/>
      <c r="I9" s="15"/>
      <c r="J9" s="12"/>
      <c r="K9" s="15"/>
      <c r="L9" s="12"/>
      <c r="M9" s="16"/>
      <c r="N9" s="16"/>
      <c r="O9" s="16"/>
      <c r="P9" s="16"/>
    </row>
    <row r="10" spans="1:16" x14ac:dyDescent="0.3">
      <c r="A10" s="11" t="s">
        <v>21</v>
      </c>
      <c r="B10" s="12">
        <v>620</v>
      </c>
      <c r="C10" s="12">
        <v>3</v>
      </c>
      <c r="D10" s="14">
        <v>45200</v>
      </c>
      <c r="E10" s="12"/>
      <c r="F10" s="13">
        <v>9</v>
      </c>
      <c r="G10" s="14">
        <v>45047</v>
      </c>
      <c r="H10" s="12"/>
      <c r="I10" s="15"/>
      <c r="J10" s="12"/>
      <c r="K10" s="15"/>
      <c r="L10" s="12"/>
      <c r="M10" s="16"/>
      <c r="N10" s="16"/>
      <c r="O10" s="16"/>
      <c r="P10" s="16"/>
    </row>
    <row r="11" spans="1:16" x14ac:dyDescent="0.3">
      <c r="A11" s="11" t="s">
        <v>22</v>
      </c>
      <c r="B11" s="12">
        <v>95</v>
      </c>
      <c r="C11" s="12">
        <v>0</v>
      </c>
      <c r="D11" s="14">
        <v>45170</v>
      </c>
      <c r="E11" s="12"/>
      <c r="F11" s="13">
        <v>8</v>
      </c>
      <c r="G11" s="14">
        <v>45231</v>
      </c>
      <c r="H11" s="12"/>
      <c r="I11" s="15"/>
      <c r="J11" s="12"/>
      <c r="K11" s="15"/>
      <c r="L11" s="12"/>
      <c r="M11" s="16"/>
      <c r="N11" s="16"/>
      <c r="O11" s="16"/>
      <c r="P11" s="16"/>
    </row>
    <row r="12" spans="1:16" x14ac:dyDescent="0.3">
      <c r="A12" s="17" t="s">
        <v>23</v>
      </c>
      <c r="B12" s="18"/>
      <c r="C12" s="18"/>
      <c r="D12" s="16"/>
      <c r="E12" s="16"/>
      <c r="F12" s="18"/>
      <c r="G12" s="16"/>
      <c r="H12" s="16"/>
      <c r="I12" s="19"/>
      <c r="J12" s="18"/>
      <c r="K12" s="18"/>
      <c r="L12" s="18"/>
      <c r="M12" s="20"/>
      <c r="N12" s="20"/>
      <c r="O12" s="19"/>
      <c r="P12" s="19"/>
    </row>
    <row r="13" spans="1:16" x14ac:dyDescent="0.3">
      <c r="A13" s="10" t="s">
        <v>24</v>
      </c>
    </row>
    <row r="14" spans="1:16" ht="13.95" customHeight="1" x14ac:dyDescent="0.3">
      <c r="A14" s="63" t="s">
        <v>2</v>
      </c>
      <c r="B14" s="63" t="s">
        <v>3</v>
      </c>
      <c r="C14" s="63" t="s">
        <v>34</v>
      </c>
      <c r="D14" s="63" t="s">
        <v>4</v>
      </c>
      <c r="E14" s="63" t="s">
        <v>5</v>
      </c>
      <c r="F14" s="63" t="s">
        <v>35</v>
      </c>
      <c r="G14" s="63" t="s">
        <v>6</v>
      </c>
      <c r="H14" s="63" t="s">
        <v>7</v>
      </c>
      <c r="I14" s="63" t="s">
        <v>8</v>
      </c>
      <c r="J14" s="63" t="s">
        <v>9</v>
      </c>
      <c r="K14" s="63" t="s">
        <v>10</v>
      </c>
      <c r="L14" s="63" t="s">
        <v>11</v>
      </c>
      <c r="M14" s="63" t="s">
        <v>12</v>
      </c>
      <c r="N14" s="63" t="s">
        <v>13</v>
      </c>
      <c r="O14" s="63" t="s">
        <v>14</v>
      </c>
      <c r="P14" s="63" t="s">
        <v>15</v>
      </c>
    </row>
    <row r="15" spans="1:16" ht="35.549999999999997" customHeight="1" x14ac:dyDescent="0.3">
      <c r="A15" s="64"/>
      <c r="B15" s="64"/>
      <c r="C15" s="64"/>
      <c r="D15" s="64"/>
      <c r="E15" s="64"/>
      <c r="F15" s="64"/>
      <c r="G15" s="64"/>
      <c r="H15" s="64"/>
      <c r="I15" s="64"/>
      <c r="J15" s="64"/>
      <c r="K15" s="64"/>
      <c r="L15" s="64"/>
      <c r="M15" s="64"/>
      <c r="N15" s="64"/>
      <c r="O15" s="64"/>
      <c r="P15" s="64"/>
    </row>
    <row r="16" spans="1:16" x14ac:dyDescent="0.3">
      <c r="A16" s="11" t="s">
        <v>16</v>
      </c>
      <c r="B16" s="13">
        <v>950</v>
      </c>
      <c r="C16" s="13">
        <v>0</v>
      </c>
      <c r="D16" s="13">
        <v>0</v>
      </c>
      <c r="E16" s="12"/>
      <c r="F16" s="13">
        <v>42</v>
      </c>
      <c r="G16" s="14">
        <v>44958</v>
      </c>
      <c r="H16" s="12"/>
      <c r="I16" s="15"/>
      <c r="J16" s="12"/>
      <c r="K16" s="15"/>
      <c r="L16" s="12"/>
      <c r="M16" s="16"/>
      <c r="N16" s="16"/>
      <c r="O16" s="16"/>
      <c r="P16" s="16"/>
    </row>
    <row r="17" spans="1:16" x14ac:dyDescent="0.3">
      <c r="A17" s="11" t="s">
        <v>17</v>
      </c>
      <c r="B17" s="13">
        <v>236</v>
      </c>
      <c r="C17" s="13">
        <v>13</v>
      </c>
      <c r="D17" s="14">
        <v>44986</v>
      </c>
      <c r="E17" s="12"/>
      <c r="F17" s="13">
        <v>30</v>
      </c>
      <c r="G17" s="14">
        <v>45139</v>
      </c>
      <c r="H17" s="12"/>
      <c r="I17" s="15"/>
      <c r="J17" s="12"/>
      <c r="K17" s="15"/>
      <c r="L17" s="12"/>
      <c r="M17" s="16"/>
      <c r="N17" s="16"/>
      <c r="O17" s="16"/>
      <c r="P17" s="16"/>
    </row>
    <row r="18" spans="1:16" x14ac:dyDescent="0.3">
      <c r="A18" s="11" t="s">
        <v>18</v>
      </c>
      <c r="B18" s="13">
        <v>2700</v>
      </c>
      <c r="C18" s="13">
        <v>232</v>
      </c>
      <c r="D18" s="14">
        <v>45047</v>
      </c>
      <c r="E18" s="12"/>
      <c r="F18" s="13">
        <v>15</v>
      </c>
      <c r="G18" s="14">
        <v>45078</v>
      </c>
      <c r="H18" s="12"/>
      <c r="I18" s="15"/>
      <c r="J18" s="12"/>
      <c r="K18" s="15"/>
      <c r="L18" s="12"/>
      <c r="M18" s="16"/>
      <c r="N18" s="16"/>
      <c r="O18" s="16"/>
      <c r="P18" s="16"/>
    </row>
    <row r="19" spans="1:16" x14ac:dyDescent="0.3">
      <c r="A19" s="11" t="s">
        <v>19</v>
      </c>
      <c r="B19" s="13">
        <v>630</v>
      </c>
      <c r="C19" s="13">
        <v>17</v>
      </c>
      <c r="D19" s="14">
        <v>45170</v>
      </c>
      <c r="E19" s="12"/>
      <c r="F19" s="13">
        <v>8</v>
      </c>
      <c r="G19" s="14">
        <v>45261</v>
      </c>
      <c r="H19" s="12"/>
      <c r="I19" s="15"/>
      <c r="J19" s="12"/>
      <c r="K19" s="15"/>
      <c r="L19" s="12"/>
      <c r="M19" s="16"/>
      <c r="N19" s="16"/>
      <c r="O19" s="16"/>
      <c r="P19" s="16"/>
    </row>
    <row r="20" spans="1:16" x14ac:dyDescent="0.3">
      <c r="A20" s="11" t="s">
        <v>20</v>
      </c>
      <c r="B20" s="13">
        <v>225</v>
      </c>
      <c r="C20" s="13">
        <v>0</v>
      </c>
      <c r="D20" s="13">
        <v>0</v>
      </c>
      <c r="E20" s="12"/>
      <c r="F20" s="13">
        <v>16</v>
      </c>
      <c r="G20" s="14">
        <v>44986</v>
      </c>
      <c r="H20" s="12"/>
      <c r="I20" s="15"/>
      <c r="J20" s="12"/>
      <c r="K20" s="15"/>
      <c r="L20" s="12"/>
      <c r="M20" s="16"/>
      <c r="N20" s="16"/>
      <c r="O20" s="16"/>
      <c r="P20" s="16"/>
    </row>
    <row r="21" spans="1:16" x14ac:dyDescent="0.3">
      <c r="A21" s="11" t="s">
        <v>21</v>
      </c>
      <c r="B21" s="13">
        <v>470</v>
      </c>
      <c r="C21" s="13">
        <v>28</v>
      </c>
      <c r="D21" s="14">
        <v>45078</v>
      </c>
      <c r="E21" s="12"/>
      <c r="F21" s="13">
        <v>10</v>
      </c>
      <c r="G21" s="14">
        <v>45108</v>
      </c>
      <c r="H21" s="12"/>
      <c r="I21" s="15"/>
      <c r="J21" s="12"/>
      <c r="K21" s="15"/>
      <c r="L21" s="12"/>
      <c r="M21" s="16"/>
      <c r="N21" s="16"/>
      <c r="O21" s="16"/>
      <c r="P21" s="16"/>
    </row>
    <row r="22" spans="1:16" x14ac:dyDescent="0.3">
      <c r="A22" s="11" t="s">
        <v>22</v>
      </c>
      <c r="B22" s="13">
        <v>100</v>
      </c>
      <c r="C22" s="13">
        <v>10</v>
      </c>
      <c r="D22" s="14">
        <v>45017</v>
      </c>
      <c r="E22" s="12"/>
      <c r="F22" s="13">
        <v>5</v>
      </c>
      <c r="G22" s="14">
        <v>45200</v>
      </c>
      <c r="H22" s="12"/>
      <c r="I22" s="15"/>
      <c r="J22" s="12"/>
      <c r="K22" s="15"/>
      <c r="L22" s="12"/>
      <c r="M22" s="16"/>
      <c r="N22" s="16"/>
      <c r="O22" s="16"/>
      <c r="P22" s="16"/>
    </row>
    <row r="23" spans="1:16" x14ac:dyDescent="0.3">
      <c r="A23" s="17" t="s">
        <v>23</v>
      </c>
      <c r="B23" s="21"/>
      <c r="C23" s="21"/>
      <c r="D23" s="16"/>
      <c r="E23" s="16"/>
      <c r="F23" s="21"/>
      <c r="G23" s="16"/>
      <c r="H23" s="16"/>
      <c r="I23" s="21"/>
      <c r="J23" s="21"/>
      <c r="K23" s="21"/>
      <c r="L23" s="18"/>
      <c r="M23" s="20"/>
      <c r="N23" s="20"/>
      <c r="O23" s="19"/>
      <c r="P23" s="19"/>
    </row>
    <row r="24" spans="1:16" x14ac:dyDescent="0.3">
      <c r="A24" s="10" t="s">
        <v>25</v>
      </c>
    </row>
    <row r="25" spans="1:16" ht="13.95" customHeight="1" x14ac:dyDescent="0.3">
      <c r="A25" s="63" t="s">
        <v>2</v>
      </c>
      <c r="B25" s="63" t="s">
        <v>3</v>
      </c>
      <c r="C25" s="63" t="s">
        <v>34</v>
      </c>
      <c r="D25" s="63" t="s">
        <v>4</v>
      </c>
      <c r="E25" s="63" t="s">
        <v>5</v>
      </c>
      <c r="F25" s="63" t="s">
        <v>35</v>
      </c>
      <c r="G25" s="63" t="s">
        <v>6</v>
      </c>
      <c r="H25" s="63" t="s">
        <v>7</v>
      </c>
      <c r="I25" s="63" t="s">
        <v>8</v>
      </c>
      <c r="J25" s="63" t="s">
        <v>9</v>
      </c>
      <c r="K25" s="63" t="s">
        <v>10</v>
      </c>
      <c r="L25" s="63" t="s">
        <v>11</v>
      </c>
      <c r="M25" s="63" t="s">
        <v>12</v>
      </c>
      <c r="N25" s="63" t="s">
        <v>13</v>
      </c>
      <c r="O25" s="63" t="s">
        <v>14</v>
      </c>
      <c r="P25" s="63" t="s">
        <v>15</v>
      </c>
    </row>
    <row r="26" spans="1:16" ht="41.4" customHeight="1" x14ac:dyDescent="0.3">
      <c r="A26" s="64"/>
      <c r="B26" s="64"/>
      <c r="C26" s="64"/>
      <c r="D26" s="64"/>
      <c r="E26" s="64"/>
      <c r="F26" s="64"/>
      <c r="G26" s="64"/>
      <c r="H26" s="64"/>
      <c r="I26" s="64"/>
      <c r="J26" s="64"/>
      <c r="K26" s="64"/>
      <c r="L26" s="64"/>
      <c r="M26" s="64"/>
      <c r="N26" s="64"/>
      <c r="O26" s="64"/>
      <c r="P26" s="64"/>
    </row>
    <row r="27" spans="1:16" x14ac:dyDescent="0.3">
      <c r="A27" s="11" t="s">
        <v>16</v>
      </c>
      <c r="B27" s="13">
        <v>1250</v>
      </c>
      <c r="C27" s="13">
        <v>15</v>
      </c>
      <c r="D27" s="14">
        <v>44986</v>
      </c>
      <c r="E27" s="12">
        <v>10</v>
      </c>
      <c r="F27" s="13">
        <v>54</v>
      </c>
      <c r="G27" s="14">
        <v>45017</v>
      </c>
      <c r="H27" s="12">
        <v>3</v>
      </c>
      <c r="I27" s="15">
        <f>B27/$B$34*100%</f>
        <v>0.1921598770176787</v>
      </c>
      <c r="J27" s="12">
        <f>B27+C27-F27</f>
        <v>1211</v>
      </c>
      <c r="K27" s="15">
        <f>J27/$J$34*100%</f>
        <v>0.17553268589650675</v>
      </c>
      <c r="L27" s="12">
        <f>B27+C27*E27/12-F27*(12-H27)/12</f>
        <v>1222</v>
      </c>
      <c r="M27" s="16"/>
      <c r="N27" s="16"/>
      <c r="O27" s="16"/>
      <c r="P27" s="16"/>
    </row>
    <row r="28" spans="1:16" x14ac:dyDescent="0.3">
      <c r="A28" s="11" t="s">
        <v>17</v>
      </c>
      <c r="B28" s="13">
        <v>185</v>
      </c>
      <c r="C28" s="13">
        <v>20</v>
      </c>
      <c r="D28" s="14">
        <v>45047</v>
      </c>
      <c r="E28" s="12">
        <v>8</v>
      </c>
      <c r="F28" s="13">
        <v>0</v>
      </c>
      <c r="G28" s="12">
        <v>0</v>
      </c>
      <c r="H28" s="12">
        <v>0</v>
      </c>
      <c r="I28" s="15">
        <f t="shared" ref="I28:I33" si="0">B28/$B$34*100%</f>
        <v>2.8439661798616449E-2</v>
      </c>
      <c r="J28" s="12">
        <f t="shared" ref="J28:J33" si="1">B28+C28-F28</f>
        <v>205</v>
      </c>
      <c r="K28" s="15">
        <f t="shared" ref="K28:K33" si="2">J28/$J$34*100%</f>
        <v>2.9714451369763733E-2</v>
      </c>
      <c r="L28" s="12">
        <f t="shared" ref="L28:L33" si="3">B28+C28*E28/12-F28*(12-H28)/12</f>
        <v>198.33333333333334</v>
      </c>
      <c r="M28" s="16"/>
      <c r="N28" s="16"/>
      <c r="O28" s="16"/>
      <c r="P28" s="16"/>
    </row>
    <row r="29" spans="1:16" x14ac:dyDescent="0.3">
      <c r="A29" s="11" t="s">
        <v>18</v>
      </c>
      <c r="B29" s="13">
        <v>3610</v>
      </c>
      <c r="C29" s="13">
        <v>470</v>
      </c>
      <c r="D29" s="14">
        <v>44958</v>
      </c>
      <c r="E29" s="12">
        <v>11</v>
      </c>
      <c r="F29" s="13">
        <v>62</v>
      </c>
      <c r="G29" s="14">
        <v>45108</v>
      </c>
      <c r="H29" s="12">
        <v>6</v>
      </c>
      <c r="I29" s="15">
        <f t="shared" si="0"/>
        <v>0.55495772482705608</v>
      </c>
      <c r="J29" s="12">
        <f t="shared" si="1"/>
        <v>4018</v>
      </c>
      <c r="K29" s="15">
        <f t="shared" si="2"/>
        <v>0.58240324684736922</v>
      </c>
      <c r="L29" s="12">
        <f t="shared" si="3"/>
        <v>4009.8333333333335</v>
      </c>
      <c r="M29" s="16"/>
      <c r="N29" s="16"/>
      <c r="O29" s="16"/>
      <c r="P29" s="16"/>
    </row>
    <row r="30" spans="1:16" x14ac:dyDescent="0.3">
      <c r="A30" s="11" t="s">
        <v>19</v>
      </c>
      <c r="B30" s="13">
        <v>590</v>
      </c>
      <c r="C30" s="13">
        <v>33</v>
      </c>
      <c r="D30" s="14">
        <v>45200</v>
      </c>
      <c r="E30" s="12">
        <v>3</v>
      </c>
      <c r="F30" s="13">
        <v>10</v>
      </c>
      <c r="G30" s="14">
        <v>45231</v>
      </c>
      <c r="H30" s="12">
        <v>10</v>
      </c>
      <c r="I30" s="15">
        <f t="shared" si="0"/>
        <v>9.0699461952344351E-2</v>
      </c>
      <c r="J30" s="12">
        <f t="shared" si="1"/>
        <v>613</v>
      </c>
      <c r="K30" s="15">
        <f t="shared" si="2"/>
        <v>8.8853457022756918E-2</v>
      </c>
      <c r="L30" s="12">
        <f t="shared" si="3"/>
        <v>596.58333333333337</v>
      </c>
      <c r="M30" s="16"/>
      <c r="N30" s="16"/>
      <c r="O30" s="16"/>
      <c r="P30" s="16"/>
    </row>
    <row r="31" spans="1:16" x14ac:dyDescent="0.3">
      <c r="A31" s="11" t="s">
        <v>20</v>
      </c>
      <c r="B31" s="13">
        <v>200</v>
      </c>
      <c r="C31" s="13">
        <v>14</v>
      </c>
      <c r="D31" s="14">
        <v>45231</v>
      </c>
      <c r="E31" s="12">
        <v>2</v>
      </c>
      <c r="F31" s="13">
        <v>35</v>
      </c>
      <c r="G31" s="14">
        <v>44986</v>
      </c>
      <c r="H31" s="12">
        <v>2</v>
      </c>
      <c r="I31" s="15">
        <f t="shared" si="0"/>
        <v>3.0745580322828592E-2</v>
      </c>
      <c r="J31" s="12">
        <f t="shared" si="1"/>
        <v>179</v>
      </c>
      <c r="K31" s="15">
        <f t="shared" si="2"/>
        <v>2.594578924481809E-2</v>
      </c>
      <c r="L31" s="12">
        <f t="shared" si="3"/>
        <v>173.16666666666669</v>
      </c>
      <c r="M31" s="16"/>
      <c r="N31" s="16"/>
      <c r="O31" s="16"/>
      <c r="P31" s="16"/>
    </row>
    <row r="32" spans="1:16" x14ac:dyDescent="0.3">
      <c r="A32" s="11" t="s">
        <v>21</v>
      </c>
      <c r="B32" s="13">
        <v>574</v>
      </c>
      <c r="C32" s="13">
        <v>0</v>
      </c>
      <c r="D32" s="12">
        <v>0</v>
      </c>
      <c r="E32" s="12">
        <v>0</v>
      </c>
      <c r="F32" s="13">
        <v>4</v>
      </c>
      <c r="G32" s="14">
        <v>45170</v>
      </c>
      <c r="H32" s="12">
        <v>8</v>
      </c>
      <c r="I32" s="15">
        <f t="shared" si="0"/>
        <v>8.8239815526518064E-2</v>
      </c>
      <c r="J32" s="12">
        <f t="shared" si="1"/>
        <v>570</v>
      </c>
      <c r="K32" s="15">
        <f t="shared" si="2"/>
        <v>8.2620669662269899E-2</v>
      </c>
      <c r="L32" s="12">
        <f t="shared" si="3"/>
        <v>572.66666666666663</v>
      </c>
      <c r="M32" s="16"/>
      <c r="N32" s="16"/>
      <c r="O32" s="16"/>
      <c r="P32" s="16"/>
    </row>
    <row r="33" spans="1:16" x14ac:dyDescent="0.3">
      <c r="A33" s="11" t="s">
        <v>22</v>
      </c>
      <c r="B33" s="13">
        <v>96</v>
      </c>
      <c r="C33" s="13">
        <v>18</v>
      </c>
      <c r="D33" s="14">
        <v>45017</v>
      </c>
      <c r="E33" s="12">
        <v>9</v>
      </c>
      <c r="F33" s="13">
        <v>11</v>
      </c>
      <c r="G33" s="14">
        <v>44958</v>
      </c>
      <c r="H33" s="12">
        <v>1</v>
      </c>
      <c r="I33" s="15">
        <f t="shared" si="0"/>
        <v>1.4757878554957724E-2</v>
      </c>
      <c r="J33" s="12">
        <f t="shared" si="1"/>
        <v>103</v>
      </c>
      <c r="K33" s="15">
        <f t="shared" si="2"/>
        <v>1.4929699956515437E-2</v>
      </c>
      <c r="L33" s="12">
        <f t="shared" si="3"/>
        <v>99.416666666666671</v>
      </c>
      <c r="M33" s="16"/>
      <c r="N33" s="16"/>
      <c r="O33" s="16"/>
      <c r="P33" s="16"/>
    </row>
    <row r="34" spans="1:16" x14ac:dyDescent="0.3">
      <c r="A34" s="17" t="s">
        <v>23</v>
      </c>
      <c r="B34" s="21">
        <f>B27+B28+B29+B30+B31+B32+B33</f>
        <v>6505</v>
      </c>
      <c r="C34" s="21">
        <f>C27+C28+C29+C30+C31+C32+C33</f>
        <v>570</v>
      </c>
      <c r="D34" s="16"/>
      <c r="E34" s="16"/>
      <c r="F34" s="21">
        <f>F27+F28+F29+F30+F31+F32+F33</f>
        <v>176</v>
      </c>
      <c r="G34" s="16"/>
      <c r="H34" s="16"/>
      <c r="I34" s="18">
        <f>I27+I28+I29+I30+I31+I32+I33</f>
        <v>0.99999999999999989</v>
      </c>
      <c r="J34" s="18">
        <f t="shared" ref="J34:L34" si="4">J27+J28+J29+J30+J31+J32+J33</f>
        <v>6899</v>
      </c>
      <c r="K34" s="18">
        <f t="shared" si="4"/>
        <v>1</v>
      </c>
      <c r="L34" s="18">
        <f t="shared" si="4"/>
        <v>6872.0000000000009</v>
      </c>
      <c r="M34" s="20">
        <f>C34/J34</f>
        <v>8.2620669662269899E-2</v>
      </c>
      <c r="N34" s="20">
        <f>F34/B34</f>
        <v>2.7056110684089162E-2</v>
      </c>
      <c r="O34" s="19">
        <f>((L29+L30+L32)/L34)*100</f>
        <v>75.365007760962357</v>
      </c>
      <c r="P34" s="19">
        <f>((L27+L28+L31+L33)/L34)*100</f>
        <v>24.63499223903764</v>
      </c>
    </row>
    <row r="35" spans="1:16" x14ac:dyDescent="0.3">
      <c r="A35" s="10" t="s">
        <v>26</v>
      </c>
    </row>
    <row r="36" spans="1:16" ht="13.95" customHeight="1" x14ac:dyDescent="0.3">
      <c r="A36" s="63" t="s">
        <v>2</v>
      </c>
      <c r="B36" s="63" t="s">
        <v>3</v>
      </c>
      <c r="C36" s="63" t="s">
        <v>34</v>
      </c>
      <c r="D36" s="63" t="s">
        <v>4</v>
      </c>
      <c r="E36" s="63" t="s">
        <v>5</v>
      </c>
      <c r="F36" s="63" t="s">
        <v>35</v>
      </c>
      <c r="G36" s="63" t="s">
        <v>6</v>
      </c>
      <c r="H36" s="63" t="s">
        <v>7</v>
      </c>
      <c r="I36" s="63" t="s">
        <v>8</v>
      </c>
      <c r="J36" s="63" t="s">
        <v>9</v>
      </c>
      <c r="K36" s="63" t="s">
        <v>10</v>
      </c>
      <c r="L36" s="63" t="s">
        <v>11</v>
      </c>
      <c r="M36" s="63" t="s">
        <v>12</v>
      </c>
      <c r="N36" s="63" t="s">
        <v>13</v>
      </c>
      <c r="O36" s="63" t="s">
        <v>14</v>
      </c>
      <c r="P36" s="63" t="s">
        <v>15</v>
      </c>
    </row>
    <row r="37" spans="1:16" ht="42.45" customHeight="1" x14ac:dyDescent="0.3">
      <c r="A37" s="64"/>
      <c r="B37" s="64"/>
      <c r="C37" s="64"/>
      <c r="D37" s="64"/>
      <c r="E37" s="64"/>
      <c r="F37" s="64"/>
      <c r="G37" s="64"/>
      <c r="H37" s="64"/>
      <c r="I37" s="64"/>
      <c r="J37" s="64"/>
      <c r="K37" s="64"/>
      <c r="L37" s="64"/>
      <c r="M37" s="64"/>
      <c r="N37" s="64"/>
      <c r="O37" s="64"/>
      <c r="P37" s="64"/>
    </row>
    <row r="38" spans="1:16" x14ac:dyDescent="0.3">
      <c r="A38" s="11" t="s">
        <v>16</v>
      </c>
      <c r="B38" s="13">
        <v>1120</v>
      </c>
      <c r="C38" s="13">
        <v>25</v>
      </c>
      <c r="D38" s="14">
        <v>45047</v>
      </c>
      <c r="E38" s="12"/>
      <c r="F38" s="13">
        <v>0</v>
      </c>
      <c r="G38" s="12">
        <v>0</v>
      </c>
      <c r="H38" s="12"/>
      <c r="I38" s="15"/>
      <c r="J38" s="12"/>
      <c r="K38" s="15"/>
      <c r="L38" s="12"/>
      <c r="M38" s="16"/>
      <c r="N38" s="16"/>
      <c r="O38" s="16"/>
      <c r="P38" s="16"/>
    </row>
    <row r="39" spans="1:16" x14ac:dyDescent="0.3">
      <c r="A39" s="11" t="s">
        <v>17</v>
      </c>
      <c r="B39" s="13">
        <v>230</v>
      </c>
      <c r="C39" s="13">
        <v>15</v>
      </c>
      <c r="D39" s="14">
        <v>45108</v>
      </c>
      <c r="E39" s="12"/>
      <c r="F39" s="13">
        <v>24</v>
      </c>
      <c r="G39" s="14">
        <v>45078</v>
      </c>
      <c r="H39" s="12"/>
      <c r="I39" s="15"/>
      <c r="J39" s="12"/>
      <c r="K39" s="15"/>
      <c r="L39" s="12"/>
      <c r="M39" s="16"/>
      <c r="N39" s="16"/>
      <c r="O39" s="16"/>
      <c r="P39" s="16"/>
    </row>
    <row r="40" spans="1:16" x14ac:dyDescent="0.3">
      <c r="A40" s="11" t="s">
        <v>18</v>
      </c>
      <c r="B40" s="13">
        <v>4100</v>
      </c>
      <c r="C40" s="13">
        <v>320</v>
      </c>
      <c r="D40" s="14">
        <v>44927</v>
      </c>
      <c r="E40" s="12"/>
      <c r="F40" s="13">
        <v>55</v>
      </c>
      <c r="G40" s="14">
        <v>45108</v>
      </c>
      <c r="H40" s="12"/>
      <c r="I40" s="15"/>
      <c r="J40" s="12"/>
      <c r="K40" s="15"/>
      <c r="L40" s="12"/>
      <c r="M40" s="16"/>
      <c r="N40" s="16"/>
      <c r="O40" s="16"/>
      <c r="P40" s="16"/>
    </row>
    <row r="41" spans="1:16" x14ac:dyDescent="0.3">
      <c r="A41" s="11" t="s">
        <v>19</v>
      </c>
      <c r="B41" s="13">
        <v>600</v>
      </c>
      <c r="C41" s="13">
        <v>45</v>
      </c>
      <c r="D41" s="14">
        <v>45231</v>
      </c>
      <c r="E41" s="12"/>
      <c r="F41" s="13">
        <v>12</v>
      </c>
      <c r="G41" s="14">
        <v>45200</v>
      </c>
      <c r="H41" s="12"/>
      <c r="I41" s="15"/>
      <c r="J41" s="12"/>
      <c r="K41" s="15"/>
      <c r="L41" s="12"/>
      <c r="M41" s="16"/>
      <c r="N41" s="16"/>
      <c r="O41" s="16"/>
      <c r="P41" s="16"/>
    </row>
    <row r="42" spans="1:16" x14ac:dyDescent="0.3">
      <c r="A42" s="11" t="s">
        <v>20</v>
      </c>
      <c r="B42" s="13">
        <v>250</v>
      </c>
      <c r="C42" s="13">
        <v>18</v>
      </c>
      <c r="D42" s="14">
        <v>45170</v>
      </c>
      <c r="E42" s="12"/>
      <c r="F42" s="13">
        <v>47</v>
      </c>
      <c r="G42" s="14">
        <v>45017</v>
      </c>
      <c r="H42" s="12"/>
      <c r="I42" s="15"/>
      <c r="J42" s="12"/>
      <c r="K42" s="15"/>
      <c r="L42" s="12"/>
      <c r="M42" s="16"/>
      <c r="N42" s="16"/>
      <c r="O42" s="16"/>
      <c r="P42" s="16"/>
    </row>
    <row r="43" spans="1:16" x14ac:dyDescent="0.3">
      <c r="A43" s="11" t="s">
        <v>21</v>
      </c>
      <c r="B43" s="13">
        <v>780</v>
      </c>
      <c r="C43" s="13">
        <v>10</v>
      </c>
      <c r="D43" s="14">
        <v>45200</v>
      </c>
      <c r="E43" s="12"/>
      <c r="F43" s="13">
        <v>25</v>
      </c>
      <c r="G43" s="14">
        <v>45170</v>
      </c>
      <c r="H43" s="12"/>
      <c r="I43" s="15"/>
      <c r="J43" s="12"/>
      <c r="K43" s="15"/>
      <c r="L43" s="12"/>
      <c r="M43" s="16"/>
      <c r="N43" s="16"/>
      <c r="O43" s="16"/>
      <c r="P43" s="16"/>
    </row>
    <row r="44" spans="1:16" x14ac:dyDescent="0.3">
      <c r="A44" s="11" t="s">
        <v>22</v>
      </c>
      <c r="B44" s="13">
        <v>114</v>
      </c>
      <c r="C44" s="13">
        <v>6</v>
      </c>
      <c r="D44" s="14">
        <v>45017</v>
      </c>
      <c r="E44" s="12"/>
      <c r="F44" s="13">
        <v>14</v>
      </c>
      <c r="G44" s="14">
        <v>44986</v>
      </c>
      <c r="H44" s="12"/>
      <c r="I44" s="15"/>
      <c r="J44" s="12"/>
      <c r="K44" s="15"/>
      <c r="L44" s="12"/>
      <c r="M44" s="16"/>
      <c r="N44" s="16"/>
      <c r="O44" s="16"/>
      <c r="P44" s="16"/>
    </row>
    <row r="45" spans="1:16" x14ac:dyDescent="0.3">
      <c r="A45" s="17" t="s">
        <v>23</v>
      </c>
      <c r="B45" s="21"/>
      <c r="C45" s="21"/>
      <c r="D45" s="16"/>
      <c r="E45" s="16"/>
      <c r="F45" s="21"/>
      <c r="G45" s="16"/>
      <c r="H45" s="16"/>
      <c r="I45" s="18"/>
      <c r="J45" s="18"/>
      <c r="K45" s="18"/>
      <c r="L45" s="18"/>
      <c r="M45" s="20"/>
      <c r="N45" s="20"/>
      <c r="O45" s="19"/>
      <c r="P45" s="19"/>
    </row>
    <row r="46" spans="1:16" x14ac:dyDescent="0.3">
      <c r="A46" s="10" t="s">
        <v>27</v>
      </c>
    </row>
    <row r="47" spans="1:16" ht="13.95" customHeight="1" x14ac:dyDescent="0.3">
      <c r="A47" s="63" t="s">
        <v>2</v>
      </c>
      <c r="B47" s="63" t="s">
        <v>3</v>
      </c>
      <c r="C47" s="63" t="s">
        <v>34</v>
      </c>
      <c r="D47" s="63" t="s">
        <v>4</v>
      </c>
      <c r="E47" s="63" t="s">
        <v>5</v>
      </c>
      <c r="F47" s="63" t="s">
        <v>35</v>
      </c>
      <c r="G47" s="63" t="s">
        <v>6</v>
      </c>
      <c r="H47" s="63" t="s">
        <v>7</v>
      </c>
      <c r="I47" s="63" t="s">
        <v>8</v>
      </c>
      <c r="J47" s="63" t="s">
        <v>9</v>
      </c>
      <c r="K47" s="63" t="s">
        <v>10</v>
      </c>
      <c r="L47" s="63" t="s">
        <v>11</v>
      </c>
      <c r="M47" s="63" t="s">
        <v>12</v>
      </c>
      <c r="N47" s="63" t="s">
        <v>13</v>
      </c>
      <c r="O47" s="63" t="s">
        <v>14</v>
      </c>
      <c r="P47" s="63" t="s">
        <v>15</v>
      </c>
    </row>
    <row r="48" spans="1:16" ht="37.049999999999997" customHeight="1" x14ac:dyDescent="0.3">
      <c r="A48" s="64"/>
      <c r="B48" s="64"/>
      <c r="C48" s="64"/>
      <c r="D48" s="64"/>
      <c r="E48" s="64"/>
      <c r="F48" s="64"/>
      <c r="G48" s="64"/>
      <c r="H48" s="64"/>
      <c r="I48" s="64"/>
      <c r="J48" s="64"/>
      <c r="K48" s="64"/>
      <c r="L48" s="64"/>
      <c r="M48" s="64"/>
      <c r="N48" s="64"/>
      <c r="O48" s="64"/>
      <c r="P48" s="64"/>
    </row>
    <row r="49" spans="1:16" x14ac:dyDescent="0.3">
      <c r="A49" s="11" t="s">
        <v>16</v>
      </c>
      <c r="B49" s="13">
        <v>980</v>
      </c>
      <c r="C49" s="13">
        <v>20</v>
      </c>
      <c r="D49" s="14">
        <v>44958</v>
      </c>
      <c r="E49" s="12"/>
      <c r="F49" s="13">
        <v>25</v>
      </c>
      <c r="G49" s="14">
        <v>45047</v>
      </c>
      <c r="H49" s="12"/>
      <c r="I49" s="15"/>
      <c r="J49" s="12"/>
      <c r="K49" s="15"/>
      <c r="L49" s="12"/>
      <c r="M49" s="16"/>
      <c r="N49" s="16"/>
      <c r="O49" s="16"/>
      <c r="P49" s="16"/>
    </row>
    <row r="50" spans="1:16" x14ac:dyDescent="0.3">
      <c r="A50" s="11" t="s">
        <v>17</v>
      </c>
      <c r="B50" s="13">
        <v>360</v>
      </c>
      <c r="C50" s="13">
        <v>30</v>
      </c>
      <c r="D50" s="14">
        <v>45078</v>
      </c>
      <c r="E50" s="12"/>
      <c r="F50" s="13">
        <v>10</v>
      </c>
      <c r="G50" s="14">
        <v>45078</v>
      </c>
      <c r="H50" s="12"/>
      <c r="I50" s="15"/>
      <c r="J50" s="12"/>
      <c r="K50" s="15"/>
      <c r="L50" s="12"/>
      <c r="M50" s="16"/>
      <c r="N50" s="16"/>
      <c r="O50" s="16"/>
      <c r="P50" s="16"/>
    </row>
    <row r="51" spans="1:16" x14ac:dyDescent="0.3">
      <c r="A51" s="11" t="s">
        <v>18</v>
      </c>
      <c r="B51" s="13">
        <v>5450</v>
      </c>
      <c r="C51" s="13">
        <v>410</v>
      </c>
      <c r="D51" s="14">
        <v>44986</v>
      </c>
      <c r="E51" s="12"/>
      <c r="F51" s="13">
        <v>130</v>
      </c>
      <c r="G51" s="14">
        <v>45200</v>
      </c>
      <c r="H51" s="12"/>
      <c r="I51" s="15"/>
      <c r="J51" s="12"/>
      <c r="K51" s="15"/>
      <c r="L51" s="12"/>
      <c r="M51" s="16"/>
      <c r="N51" s="16"/>
      <c r="O51" s="16"/>
      <c r="P51" s="16"/>
    </row>
    <row r="52" spans="1:16" x14ac:dyDescent="0.3">
      <c r="A52" s="11" t="s">
        <v>19</v>
      </c>
      <c r="B52" s="13">
        <v>360</v>
      </c>
      <c r="C52" s="13">
        <v>0</v>
      </c>
      <c r="D52" s="12">
        <v>0</v>
      </c>
      <c r="E52" s="12"/>
      <c r="F52" s="13">
        <v>18</v>
      </c>
      <c r="G52" s="14">
        <v>45231</v>
      </c>
      <c r="H52" s="12"/>
      <c r="I52" s="15"/>
      <c r="J52" s="12"/>
      <c r="K52" s="15"/>
      <c r="L52" s="12"/>
      <c r="M52" s="16"/>
      <c r="N52" s="16"/>
      <c r="O52" s="16"/>
      <c r="P52" s="16"/>
    </row>
    <row r="53" spans="1:16" x14ac:dyDescent="0.3">
      <c r="A53" s="11" t="s">
        <v>20</v>
      </c>
      <c r="B53" s="13">
        <v>125</v>
      </c>
      <c r="C53" s="13">
        <v>23</v>
      </c>
      <c r="D53" s="14">
        <v>45200</v>
      </c>
      <c r="E53" s="12"/>
      <c r="F53" s="13">
        <v>36</v>
      </c>
      <c r="G53" s="14">
        <v>45017</v>
      </c>
      <c r="H53" s="12"/>
      <c r="I53" s="15"/>
      <c r="J53" s="12"/>
      <c r="K53" s="15"/>
      <c r="L53" s="12"/>
      <c r="M53" s="16"/>
      <c r="N53" s="16"/>
      <c r="O53" s="16"/>
      <c r="P53" s="16"/>
    </row>
    <row r="54" spans="1:16" x14ac:dyDescent="0.3">
      <c r="A54" s="11" t="s">
        <v>21</v>
      </c>
      <c r="B54" s="13">
        <v>380</v>
      </c>
      <c r="C54" s="13">
        <v>45</v>
      </c>
      <c r="D54" s="14">
        <v>45261</v>
      </c>
      <c r="E54" s="12"/>
      <c r="F54" s="13">
        <v>15</v>
      </c>
      <c r="G54" s="14">
        <v>45170</v>
      </c>
      <c r="H54" s="12"/>
      <c r="I54" s="15"/>
      <c r="J54" s="12"/>
      <c r="K54" s="15"/>
      <c r="L54" s="12"/>
      <c r="M54" s="16"/>
      <c r="N54" s="16"/>
      <c r="O54" s="16"/>
      <c r="P54" s="16"/>
    </row>
    <row r="55" spans="1:16" x14ac:dyDescent="0.3">
      <c r="A55" s="11" t="s">
        <v>22</v>
      </c>
      <c r="B55" s="13">
        <v>70</v>
      </c>
      <c r="C55" s="13">
        <v>15</v>
      </c>
      <c r="D55" s="14">
        <v>45017</v>
      </c>
      <c r="E55" s="12"/>
      <c r="F55" s="13">
        <v>12</v>
      </c>
      <c r="G55" s="14">
        <v>44958</v>
      </c>
      <c r="H55" s="12"/>
      <c r="I55" s="15"/>
      <c r="J55" s="12"/>
      <c r="K55" s="15"/>
      <c r="L55" s="12"/>
      <c r="M55" s="16"/>
      <c r="N55" s="16"/>
      <c r="O55" s="16"/>
      <c r="P55" s="16"/>
    </row>
    <row r="56" spans="1:16" x14ac:dyDescent="0.3">
      <c r="A56" s="17" t="s">
        <v>23</v>
      </c>
      <c r="B56" s="21"/>
      <c r="C56" s="21"/>
      <c r="D56" s="16"/>
      <c r="E56" s="16"/>
      <c r="F56" s="21"/>
      <c r="G56" s="16"/>
      <c r="H56" s="16"/>
      <c r="I56" s="18"/>
      <c r="J56" s="18"/>
      <c r="K56" s="18"/>
      <c r="L56" s="18"/>
      <c r="M56" s="20"/>
      <c r="N56" s="20"/>
      <c r="O56" s="19"/>
      <c r="P56" s="19"/>
    </row>
    <row r="57" spans="1:16" x14ac:dyDescent="0.3">
      <c r="A57" s="10" t="s">
        <v>29</v>
      </c>
    </row>
    <row r="58" spans="1:16" ht="13.95" customHeight="1" x14ac:dyDescent="0.3">
      <c r="A58" s="63" t="s">
        <v>2</v>
      </c>
      <c r="B58" s="63" t="s">
        <v>3</v>
      </c>
      <c r="C58" s="63" t="s">
        <v>34</v>
      </c>
      <c r="D58" s="63" t="s">
        <v>4</v>
      </c>
      <c r="E58" s="63" t="s">
        <v>5</v>
      </c>
      <c r="F58" s="63" t="s">
        <v>35</v>
      </c>
      <c r="G58" s="63" t="s">
        <v>6</v>
      </c>
      <c r="H58" s="63" t="s">
        <v>7</v>
      </c>
      <c r="I58" s="63" t="s">
        <v>8</v>
      </c>
      <c r="J58" s="63" t="s">
        <v>9</v>
      </c>
      <c r="K58" s="63" t="s">
        <v>10</v>
      </c>
      <c r="L58" s="63" t="s">
        <v>11</v>
      </c>
      <c r="M58" s="63" t="s">
        <v>12</v>
      </c>
      <c r="N58" s="63" t="s">
        <v>13</v>
      </c>
      <c r="O58" s="63" t="s">
        <v>14</v>
      </c>
      <c r="P58" s="63" t="s">
        <v>15</v>
      </c>
    </row>
    <row r="59" spans="1:16" ht="43.5" customHeight="1" x14ac:dyDescent="0.3">
      <c r="A59" s="64"/>
      <c r="B59" s="64"/>
      <c r="C59" s="64"/>
      <c r="D59" s="64"/>
      <c r="E59" s="64"/>
      <c r="F59" s="64"/>
      <c r="G59" s="64"/>
      <c r="H59" s="64"/>
      <c r="I59" s="64"/>
      <c r="J59" s="64"/>
      <c r="K59" s="64"/>
      <c r="L59" s="64"/>
      <c r="M59" s="64"/>
      <c r="N59" s="64"/>
      <c r="O59" s="64"/>
      <c r="P59" s="64"/>
    </row>
    <row r="60" spans="1:16" x14ac:dyDescent="0.3">
      <c r="A60" s="11" t="s">
        <v>16</v>
      </c>
      <c r="B60" s="13">
        <v>1055</v>
      </c>
      <c r="C60" s="13">
        <v>25</v>
      </c>
      <c r="D60" s="14">
        <v>45383</v>
      </c>
      <c r="E60" s="12"/>
      <c r="F60" s="13">
        <v>0</v>
      </c>
      <c r="G60" s="12">
        <v>0</v>
      </c>
      <c r="H60" s="12"/>
      <c r="I60" s="15"/>
      <c r="J60" s="12"/>
      <c r="K60" s="15"/>
      <c r="L60" s="12"/>
      <c r="M60" s="16"/>
      <c r="N60" s="16"/>
      <c r="O60" s="16"/>
      <c r="P60" s="16"/>
    </row>
    <row r="61" spans="1:16" x14ac:dyDescent="0.3">
      <c r="A61" s="11" t="s">
        <v>17</v>
      </c>
      <c r="B61" s="13">
        <v>410</v>
      </c>
      <c r="C61" s="13">
        <v>15</v>
      </c>
      <c r="D61" s="14">
        <v>45413</v>
      </c>
      <c r="E61" s="12"/>
      <c r="F61" s="13">
        <v>15</v>
      </c>
      <c r="G61" s="14">
        <v>45078</v>
      </c>
      <c r="H61" s="12"/>
      <c r="I61" s="15"/>
      <c r="J61" s="12"/>
      <c r="K61" s="15"/>
      <c r="L61" s="12"/>
      <c r="M61" s="16"/>
      <c r="N61" s="16"/>
      <c r="O61" s="16"/>
      <c r="P61" s="16"/>
    </row>
    <row r="62" spans="1:16" x14ac:dyDescent="0.3">
      <c r="A62" s="11" t="s">
        <v>18</v>
      </c>
      <c r="B62" s="13">
        <v>6250</v>
      </c>
      <c r="C62" s="13">
        <v>560</v>
      </c>
      <c r="D62" s="14">
        <v>45323</v>
      </c>
      <c r="E62" s="12"/>
      <c r="F62" s="13">
        <v>114</v>
      </c>
      <c r="G62" s="14">
        <v>45597</v>
      </c>
      <c r="H62" s="12"/>
      <c r="I62" s="15"/>
      <c r="J62" s="12"/>
      <c r="K62" s="15"/>
      <c r="L62" s="12"/>
      <c r="M62" s="16"/>
      <c r="N62" s="16"/>
      <c r="O62" s="16"/>
      <c r="P62" s="16"/>
    </row>
    <row r="63" spans="1:16" x14ac:dyDescent="0.3">
      <c r="A63" s="11" t="s">
        <v>19</v>
      </c>
      <c r="B63" s="13">
        <v>300</v>
      </c>
      <c r="C63" s="13">
        <v>20</v>
      </c>
      <c r="D63" s="22">
        <v>45566</v>
      </c>
      <c r="E63" s="12"/>
      <c r="F63" s="13">
        <v>20</v>
      </c>
      <c r="G63" s="14">
        <v>45627</v>
      </c>
      <c r="H63" s="12"/>
      <c r="I63" s="15"/>
      <c r="J63" s="12"/>
      <c r="K63" s="15"/>
      <c r="L63" s="12"/>
      <c r="M63" s="16"/>
      <c r="N63" s="16"/>
      <c r="O63" s="16"/>
      <c r="P63" s="16"/>
    </row>
    <row r="64" spans="1:16" x14ac:dyDescent="0.3">
      <c r="A64" s="11" t="s">
        <v>20</v>
      </c>
      <c r="B64" s="13">
        <v>190</v>
      </c>
      <c r="C64" s="13">
        <v>0</v>
      </c>
      <c r="D64" s="12">
        <v>0</v>
      </c>
      <c r="E64" s="12"/>
      <c r="F64" s="13">
        <v>45</v>
      </c>
      <c r="G64" s="14">
        <v>45352</v>
      </c>
      <c r="H64" s="12"/>
      <c r="I64" s="15"/>
      <c r="J64" s="12"/>
      <c r="K64" s="15"/>
      <c r="L64" s="12"/>
      <c r="M64" s="16"/>
      <c r="N64" s="16"/>
      <c r="O64" s="16"/>
      <c r="P64" s="16"/>
    </row>
    <row r="65" spans="1:16" x14ac:dyDescent="0.3">
      <c r="A65" s="11" t="s">
        <v>21</v>
      </c>
      <c r="B65" s="13">
        <v>288</v>
      </c>
      <c r="C65" s="13">
        <v>0</v>
      </c>
      <c r="D65" s="12">
        <v>0</v>
      </c>
      <c r="E65" s="12"/>
      <c r="F65" s="13">
        <v>10</v>
      </c>
      <c r="G65" s="14">
        <v>45170</v>
      </c>
      <c r="H65" s="12"/>
      <c r="I65" s="15"/>
      <c r="J65" s="12"/>
      <c r="K65" s="15"/>
      <c r="L65" s="12"/>
      <c r="M65" s="16"/>
      <c r="N65" s="16"/>
      <c r="O65" s="16"/>
      <c r="P65" s="16"/>
    </row>
    <row r="66" spans="1:16" x14ac:dyDescent="0.3">
      <c r="A66" s="11" t="s">
        <v>22</v>
      </c>
      <c r="B66" s="13">
        <v>103</v>
      </c>
      <c r="C66" s="13">
        <v>18</v>
      </c>
      <c r="D66" s="14">
        <v>45597</v>
      </c>
      <c r="E66" s="12"/>
      <c r="F66" s="13">
        <v>11</v>
      </c>
      <c r="G66" s="14">
        <v>45383</v>
      </c>
      <c r="H66" s="12"/>
      <c r="I66" s="15"/>
      <c r="J66" s="12"/>
      <c r="K66" s="15"/>
      <c r="L66" s="12"/>
      <c r="M66" s="16"/>
      <c r="N66" s="16"/>
      <c r="O66" s="16"/>
      <c r="P66" s="16"/>
    </row>
    <row r="67" spans="1:16" x14ac:dyDescent="0.3">
      <c r="A67" s="17" t="s">
        <v>23</v>
      </c>
      <c r="B67" s="21"/>
      <c r="C67" s="21"/>
      <c r="D67" s="16"/>
      <c r="E67" s="16"/>
      <c r="F67" s="21"/>
      <c r="G67" s="16"/>
      <c r="H67" s="16"/>
      <c r="I67" s="18"/>
      <c r="J67" s="18"/>
      <c r="K67" s="18"/>
      <c r="L67" s="18"/>
      <c r="M67" s="20"/>
      <c r="N67" s="20"/>
      <c r="O67" s="19"/>
      <c r="P67" s="19"/>
    </row>
    <row r="68" spans="1:16" x14ac:dyDescent="0.3">
      <c r="A68" s="10" t="s">
        <v>30</v>
      </c>
    </row>
    <row r="69" spans="1:16" ht="13.95" customHeight="1" x14ac:dyDescent="0.3">
      <c r="A69" s="63" t="s">
        <v>2</v>
      </c>
      <c r="B69" s="63" t="s">
        <v>3</v>
      </c>
      <c r="C69" s="63" t="s">
        <v>34</v>
      </c>
      <c r="D69" s="63" t="s">
        <v>4</v>
      </c>
      <c r="E69" s="63" t="s">
        <v>5</v>
      </c>
      <c r="F69" s="63" t="s">
        <v>35</v>
      </c>
      <c r="G69" s="63" t="s">
        <v>6</v>
      </c>
      <c r="H69" s="63" t="s">
        <v>7</v>
      </c>
      <c r="I69" s="63" t="s">
        <v>8</v>
      </c>
      <c r="J69" s="63" t="s">
        <v>9</v>
      </c>
      <c r="K69" s="63" t="s">
        <v>10</v>
      </c>
      <c r="L69" s="63" t="s">
        <v>11</v>
      </c>
      <c r="M69" s="63" t="s">
        <v>12</v>
      </c>
      <c r="N69" s="63" t="s">
        <v>13</v>
      </c>
      <c r="O69" s="63" t="s">
        <v>14</v>
      </c>
      <c r="P69" s="63" t="s">
        <v>15</v>
      </c>
    </row>
    <row r="70" spans="1:16" ht="39.299999999999997" customHeight="1" x14ac:dyDescent="0.3">
      <c r="A70" s="64"/>
      <c r="B70" s="64"/>
      <c r="C70" s="64"/>
      <c r="D70" s="64"/>
      <c r="E70" s="64"/>
      <c r="F70" s="64"/>
      <c r="G70" s="64"/>
      <c r="H70" s="64"/>
      <c r="I70" s="64"/>
      <c r="J70" s="64"/>
      <c r="K70" s="64"/>
      <c r="L70" s="64"/>
      <c r="M70" s="64"/>
      <c r="N70" s="64"/>
      <c r="O70" s="64"/>
      <c r="P70" s="64"/>
    </row>
    <row r="71" spans="1:16" x14ac:dyDescent="0.3">
      <c r="A71" s="11" t="s">
        <v>16</v>
      </c>
      <c r="B71" s="13">
        <v>560</v>
      </c>
      <c r="C71" s="13">
        <v>25</v>
      </c>
      <c r="D71" s="14">
        <v>45323</v>
      </c>
      <c r="E71" s="12"/>
      <c r="F71" s="13">
        <v>10</v>
      </c>
      <c r="G71" s="22">
        <v>45566</v>
      </c>
      <c r="H71" s="12"/>
      <c r="I71" s="15"/>
      <c r="J71" s="12"/>
      <c r="K71" s="15"/>
      <c r="L71" s="12"/>
      <c r="M71" s="16"/>
      <c r="N71" s="16"/>
      <c r="O71" s="16"/>
      <c r="P71" s="16"/>
    </row>
    <row r="72" spans="1:16" x14ac:dyDescent="0.3">
      <c r="A72" s="11" t="s">
        <v>17</v>
      </c>
      <c r="B72" s="13">
        <v>344</v>
      </c>
      <c r="C72" s="13">
        <v>15</v>
      </c>
      <c r="D72" s="14">
        <v>45352</v>
      </c>
      <c r="E72" s="12"/>
      <c r="F72" s="13">
        <v>23</v>
      </c>
      <c r="G72" s="14">
        <v>45078</v>
      </c>
      <c r="H72" s="12"/>
      <c r="I72" s="15"/>
      <c r="J72" s="12"/>
      <c r="K72" s="15"/>
      <c r="L72" s="12"/>
      <c r="M72" s="16"/>
      <c r="N72" s="16"/>
      <c r="O72" s="16"/>
      <c r="P72" s="16"/>
    </row>
    <row r="73" spans="1:16" x14ac:dyDescent="0.3">
      <c r="A73" s="11" t="s">
        <v>18</v>
      </c>
      <c r="B73" s="13">
        <v>6540</v>
      </c>
      <c r="C73" s="13">
        <v>560</v>
      </c>
      <c r="D73" s="14">
        <v>45444</v>
      </c>
      <c r="E73" s="12"/>
      <c r="F73" s="13">
        <v>45</v>
      </c>
      <c r="G73" s="14">
        <v>45536</v>
      </c>
      <c r="H73" s="12"/>
      <c r="I73" s="15"/>
      <c r="J73" s="12"/>
      <c r="K73" s="15"/>
      <c r="L73" s="12"/>
      <c r="M73" s="16"/>
      <c r="N73" s="16"/>
      <c r="O73" s="16"/>
      <c r="P73" s="16"/>
    </row>
    <row r="74" spans="1:16" x14ac:dyDescent="0.3">
      <c r="A74" s="11" t="s">
        <v>19</v>
      </c>
      <c r="B74" s="13">
        <v>136</v>
      </c>
      <c r="C74" s="13">
        <v>20</v>
      </c>
      <c r="D74" s="22">
        <v>45597</v>
      </c>
      <c r="E74" s="12"/>
      <c r="F74" s="13">
        <v>0</v>
      </c>
      <c r="G74" s="12">
        <v>0</v>
      </c>
      <c r="H74" s="12"/>
      <c r="I74" s="15"/>
      <c r="J74" s="12"/>
      <c r="K74" s="15"/>
      <c r="L74" s="12"/>
      <c r="M74" s="16"/>
      <c r="N74" s="16"/>
      <c r="O74" s="16"/>
      <c r="P74" s="16"/>
    </row>
    <row r="75" spans="1:16" x14ac:dyDescent="0.3">
      <c r="A75" s="11" t="s">
        <v>20</v>
      </c>
      <c r="B75" s="13">
        <v>200</v>
      </c>
      <c r="C75" s="13">
        <v>0</v>
      </c>
      <c r="D75" s="12">
        <v>0</v>
      </c>
      <c r="E75" s="12"/>
      <c r="F75" s="13">
        <v>17</v>
      </c>
      <c r="G75" s="14">
        <v>45383</v>
      </c>
      <c r="H75" s="12"/>
      <c r="I75" s="15"/>
      <c r="J75" s="12"/>
      <c r="K75" s="15"/>
      <c r="L75" s="12"/>
      <c r="M75" s="16"/>
      <c r="N75" s="16"/>
      <c r="O75" s="16"/>
      <c r="P75" s="16"/>
    </row>
    <row r="76" spans="1:16" x14ac:dyDescent="0.3">
      <c r="A76" s="11" t="s">
        <v>21</v>
      </c>
      <c r="B76" s="13">
        <v>97</v>
      </c>
      <c r="C76" s="13">
        <v>26</v>
      </c>
      <c r="D76" s="22">
        <v>45474</v>
      </c>
      <c r="E76" s="12"/>
      <c r="F76" s="13">
        <v>7</v>
      </c>
      <c r="G76" s="14">
        <v>45323</v>
      </c>
      <c r="H76" s="12"/>
      <c r="I76" s="15"/>
      <c r="J76" s="12"/>
      <c r="K76" s="15"/>
      <c r="L76" s="12"/>
      <c r="M76" s="16"/>
      <c r="N76" s="16"/>
      <c r="O76" s="16"/>
      <c r="P76" s="16"/>
    </row>
    <row r="77" spans="1:16" x14ac:dyDescent="0.3">
      <c r="A77" s="11" t="s">
        <v>22</v>
      </c>
      <c r="B77" s="13">
        <v>23</v>
      </c>
      <c r="C77" s="13">
        <v>18</v>
      </c>
      <c r="D77" s="14">
        <v>45627</v>
      </c>
      <c r="E77" s="12"/>
      <c r="F77" s="13">
        <v>2</v>
      </c>
      <c r="G77" s="14">
        <v>45597</v>
      </c>
      <c r="H77" s="12"/>
      <c r="I77" s="15"/>
      <c r="J77" s="12"/>
      <c r="K77" s="15"/>
      <c r="L77" s="12"/>
      <c r="M77" s="16"/>
      <c r="N77" s="16"/>
      <c r="O77" s="16"/>
      <c r="P77" s="16"/>
    </row>
    <row r="78" spans="1:16" x14ac:dyDescent="0.3">
      <c r="A78" s="17" t="s">
        <v>23</v>
      </c>
      <c r="B78" s="21"/>
      <c r="C78" s="21"/>
      <c r="D78" s="16"/>
      <c r="E78" s="16"/>
      <c r="F78" s="21"/>
      <c r="G78" s="16"/>
      <c r="H78" s="16"/>
      <c r="I78" s="18"/>
      <c r="J78" s="18"/>
      <c r="K78" s="18"/>
      <c r="L78" s="18"/>
      <c r="M78" s="20"/>
      <c r="N78" s="20"/>
      <c r="O78" s="19"/>
      <c r="P78" s="19"/>
    </row>
    <row r="79" spans="1:16" x14ac:dyDescent="0.3">
      <c r="A79" s="10" t="s">
        <v>31</v>
      </c>
    </row>
    <row r="80" spans="1:16" ht="13.95" customHeight="1" x14ac:dyDescent="0.3">
      <c r="A80" s="63" t="s">
        <v>2</v>
      </c>
      <c r="B80" s="63" t="s">
        <v>3</v>
      </c>
      <c r="C80" s="63" t="s">
        <v>34</v>
      </c>
      <c r="D80" s="63" t="s">
        <v>4</v>
      </c>
      <c r="E80" s="63" t="s">
        <v>5</v>
      </c>
      <c r="F80" s="63" t="s">
        <v>35</v>
      </c>
      <c r="G80" s="63" t="s">
        <v>6</v>
      </c>
      <c r="H80" s="63" t="s">
        <v>7</v>
      </c>
      <c r="I80" s="63" t="s">
        <v>8</v>
      </c>
      <c r="J80" s="63" t="s">
        <v>9</v>
      </c>
      <c r="K80" s="63" t="s">
        <v>10</v>
      </c>
      <c r="L80" s="63" t="s">
        <v>11</v>
      </c>
      <c r="M80" s="63" t="s">
        <v>12</v>
      </c>
      <c r="N80" s="63" t="s">
        <v>13</v>
      </c>
      <c r="O80" s="63" t="s">
        <v>14</v>
      </c>
      <c r="P80" s="63" t="s">
        <v>15</v>
      </c>
    </row>
    <row r="81" spans="1:16" ht="38.1" customHeight="1" x14ac:dyDescent="0.3">
      <c r="A81" s="64"/>
      <c r="B81" s="64"/>
      <c r="C81" s="64"/>
      <c r="D81" s="64"/>
      <c r="E81" s="64"/>
      <c r="F81" s="64"/>
      <c r="G81" s="64"/>
      <c r="H81" s="64"/>
      <c r="I81" s="64"/>
      <c r="J81" s="64"/>
      <c r="K81" s="64"/>
      <c r="L81" s="64"/>
      <c r="M81" s="64"/>
      <c r="N81" s="64"/>
      <c r="O81" s="64"/>
      <c r="P81" s="64"/>
    </row>
    <row r="82" spans="1:16" x14ac:dyDescent="0.3">
      <c r="A82" s="11" t="s">
        <v>16</v>
      </c>
      <c r="B82" s="13">
        <v>185</v>
      </c>
      <c r="C82" s="13">
        <v>30</v>
      </c>
      <c r="D82" s="14">
        <v>45597</v>
      </c>
      <c r="E82" s="12"/>
      <c r="F82" s="13">
        <v>20</v>
      </c>
      <c r="G82" s="22">
        <v>45597</v>
      </c>
      <c r="H82" s="12"/>
      <c r="I82" s="15"/>
      <c r="J82" s="12"/>
      <c r="K82" s="15"/>
      <c r="L82" s="12"/>
      <c r="M82" s="16"/>
      <c r="N82" s="16"/>
      <c r="O82" s="16"/>
      <c r="P82" s="16"/>
    </row>
    <row r="83" spans="1:16" x14ac:dyDescent="0.3">
      <c r="A83" s="11" t="s">
        <v>17</v>
      </c>
      <c r="B83" s="13">
        <v>206</v>
      </c>
      <c r="C83" s="13">
        <v>0</v>
      </c>
      <c r="D83" s="12">
        <v>0</v>
      </c>
      <c r="E83" s="12"/>
      <c r="F83" s="13">
        <v>18</v>
      </c>
      <c r="G83" s="14">
        <v>45505</v>
      </c>
      <c r="H83" s="12"/>
      <c r="I83" s="15"/>
      <c r="J83" s="12"/>
      <c r="K83" s="15"/>
      <c r="L83" s="12"/>
      <c r="M83" s="16"/>
      <c r="N83" s="16"/>
      <c r="O83" s="16"/>
      <c r="P83" s="16"/>
    </row>
    <row r="84" spans="1:16" x14ac:dyDescent="0.3">
      <c r="A84" s="11" t="s">
        <v>18</v>
      </c>
      <c r="B84" s="13">
        <v>5890</v>
      </c>
      <c r="C84" s="13">
        <v>408</v>
      </c>
      <c r="D84" s="14">
        <v>45474</v>
      </c>
      <c r="E84" s="12"/>
      <c r="F84" s="13">
        <v>24</v>
      </c>
      <c r="G84" s="14">
        <v>45383</v>
      </c>
      <c r="H84" s="12"/>
      <c r="I84" s="15"/>
      <c r="J84" s="12"/>
      <c r="K84" s="15"/>
      <c r="L84" s="12"/>
      <c r="M84" s="16"/>
      <c r="N84" s="16"/>
      <c r="O84" s="16"/>
      <c r="P84" s="16"/>
    </row>
    <row r="85" spans="1:16" x14ac:dyDescent="0.3">
      <c r="A85" s="11" t="s">
        <v>19</v>
      </c>
      <c r="B85" s="13">
        <v>120</v>
      </c>
      <c r="C85" s="13">
        <v>10</v>
      </c>
      <c r="D85" s="22">
        <v>45536</v>
      </c>
      <c r="E85" s="12"/>
      <c r="F85" s="13">
        <v>15</v>
      </c>
      <c r="G85" s="22">
        <v>45323</v>
      </c>
      <c r="H85" s="12"/>
      <c r="I85" s="15"/>
      <c r="J85" s="12"/>
      <c r="K85" s="15"/>
      <c r="L85" s="12"/>
      <c r="M85" s="16"/>
      <c r="N85" s="16"/>
      <c r="O85" s="16"/>
      <c r="P85" s="16"/>
    </row>
    <row r="86" spans="1:16" x14ac:dyDescent="0.3">
      <c r="A86" s="11" t="s">
        <v>20</v>
      </c>
      <c r="B86" s="13">
        <v>96</v>
      </c>
      <c r="C86" s="13">
        <v>12</v>
      </c>
      <c r="D86" s="22">
        <v>45597</v>
      </c>
      <c r="E86" s="12"/>
      <c r="F86" s="13">
        <v>6</v>
      </c>
      <c r="G86" s="14">
        <v>45352</v>
      </c>
      <c r="H86" s="12"/>
      <c r="I86" s="15"/>
      <c r="J86" s="12"/>
      <c r="K86" s="15"/>
      <c r="L86" s="12"/>
      <c r="M86" s="16"/>
      <c r="N86" s="16"/>
      <c r="O86" s="16"/>
      <c r="P86" s="16"/>
    </row>
    <row r="87" spans="1:16" x14ac:dyDescent="0.3">
      <c r="A87" s="11" t="s">
        <v>21</v>
      </c>
      <c r="B87" s="13">
        <v>230</v>
      </c>
      <c r="C87" s="13">
        <v>54</v>
      </c>
      <c r="D87" s="22">
        <v>45536</v>
      </c>
      <c r="E87" s="12"/>
      <c r="F87" s="13">
        <v>0</v>
      </c>
      <c r="G87" s="12">
        <v>0</v>
      </c>
      <c r="H87" s="12"/>
      <c r="I87" s="15"/>
      <c r="J87" s="12"/>
      <c r="K87" s="15"/>
      <c r="L87" s="12"/>
      <c r="M87" s="16"/>
      <c r="N87" s="16"/>
      <c r="O87" s="16"/>
      <c r="P87" s="16"/>
    </row>
    <row r="88" spans="1:16" x14ac:dyDescent="0.3">
      <c r="A88" s="11" t="s">
        <v>22</v>
      </c>
      <c r="B88" s="13">
        <v>35</v>
      </c>
      <c r="C88" s="13">
        <v>22</v>
      </c>
      <c r="D88" s="14">
        <v>45352</v>
      </c>
      <c r="E88" s="12"/>
      <c r="F88" s="13">
        <v>0</v>
      </c>
      <c r="G88" s="12">
        <v>0</v>
      </c>
      <c r="H88" s="12"/>
      <c r="I88" s="15"/>
      <c r="J88" s="12"/>
      <c r="K88" s="15"/>
      <c r="L88" s="12"/>
      <c r="M88" s="16"/>
      <c r="N88" s="16"/>
      <c r="O88" s="16"/>
      <c r="P88" s="16"/>
    </row>
    <row r="89" spans="1:16" x14ac:dyDescent="0.3">
      <c r="A89" s="17" t="s">
        <v>23</v>
      </c>
      <c r="B89" s="21"/>
      <c r="C89" s="21"/>
      <c r="D89" s="16"/>
      <c r="E89" s="16"/>
      <c r="F89" s="21"/>
      <c r="G89" s="16"/>
      <c r="H89" s="16"/>
      <c r="I89" s="18"/>
      <c r="J89" s="18"/>
      <c r="K89" s="18"/>
      <c r="L89" s="18"/>
      <c r="M89" s="20"/>
      <c r="N89" s="20"/>
      <c r="O89" s="19"/>
      <c r="P89" s="19"/>
    </row>
    <row r="90" spans="1:16" x14ac:dyDescent="0.3">
      <c r="A90" s="10" t="s">
        <v>32</v>
      </c>
    </row>
    <row r="91" spans="1:16" ht="13.95" customHeight="1" x14ac:dyDescent="0.3">
      <c r="A91" s="63" t="s">
        <v>2</v>
      </c>
      <c r="B91" s="63" t="s">
        <v>3</v>
      </c>
      <c r="C91" s="63" t="s">
        <v>34</v>
      </c>
      <c r="D91" s="63" t="s">
        <v>4</v>
      </c>
      <c r="E91" s="63" t="s">
        <v>5</v>
      </c>
      <c r="F91" s="63" t="s">
        <v>35</v>
      </c>
      <c r="G91" s="63" t="s">
        <v>6</v>
      </c>
      <c r="H91" s="63" t="s">
        <v>7</v>
      </c>
      <c r="I91" s="63" t="s">
        <v>8</v>
      </c>
      <c r="J91" s="63" t="s">
        <v>9</v>
      </c>
      <c r="K91" s="63" t="s">
        <v>10</v>
      </c>
      <c r="L91" s="63" t="s">
        <v>11</v>
      </c>
      <c r="M91" s="63" t="s">
        <v>12</v>
      </c>
      <c r="N91" s="63" t="s">
        <v>13</v>
      </c>
      <c r="O91" s="63" t="s">
        <v>14</v>
      </c>
      <c r="P91" s="63" t="s">
        <v>15</v>
      </c>
    </row>
    <row r="92" spans="1:16" ht="38.700000000000003" customHeight="1" x14ac:dyDescent="0.3">
      <c r="A92" s="64"/>
      <c r="B92" s="64"/>
      <c r="C92" s="64"/>
      <c r="D92" s="64"/>
      <c r="E92" s="64"/>
      <c r="F92" s="64"/>
      <c r="G92" s="64"/>
      <c r="H92" s="64"/>
      <c r="I92" s="64"/>
      <c r="J92" s="64"/>
      <c r="K92" s="64"/>
      <c r="L92" s="64"/>
      <c r="M92" s="64"/>
      <c r="N92" s="64"/>
      <c r="O92" s="64"/>
      <c r="P92" s="64"/>
    </row>
    <row r="93" spans="1:16" x14ac:dyDescent="0.3">
      <c r="A93" s="11" t="s">
        <v>16</v>
      </c>
      <c r="B93" s="13">
        <v>199</v>
      </c>
      <c r="C93" s="13">
        <v>14</v>
      </c>
      <c r="D93" s="14">
        <v>45627</v>
      </c>
      <c r="E93" s="12"/>
      <c r="F93" s="13">
        <v>10</v>
      </c>
      <c r="G93" s="22">
        <v>45383</v>
      </c>
      <c r="H93" s="12"/>
      <c r="I93" s="15"/>
      <c r="J93" s="12"/>
      <c r="K93" s="15"/>
      <c r="L93" s="12"/>
      <c r="M93" s="16"/>
      <c r="N93" s="16"/>
      <c r="O93" s="16"/>
      <c r="P93" s="16"/>
    </row>
    <row r="94" spans="1:16" x14ac:dyDescent="0.3">
      <c r="A94" s="11" t="s">
        <v>17</v>
      </c>
      <c r="B94" s="13">
        <v>35</v>
      </c>
      <c r="C94" s="13">
        <v>25</v>
      </c>
      <c r="D94" s="14">
        <v>45597</v>
      </c>
      <c r="E94" s="12"/>
      <c r="F94" s="13">
        <v>0</v>
      </c>
      <c r="G94" s="12">
        <v>0</v>
      </c>
      <c r="H94" s="12"/>
      <c r="I94" s="15"/>
      <c r="J94" s="12"/>
      <c r="K94" s="15"/>
      <c r="L94" s="12"/>
      <c r="M94" s="16"/>
      <c r="N94" s="16"/>
      <c r="O94" s="16"/>
      <c r="P94" s="16"/>
    </row>
    <row r="95" spans="1:16" x14ac:dyDescent="0.3">
      <c r="A95" s="11" t="s">
        <v>18</v>
      </c>
      <c r="B95" s="13">
        <v>2470</v>
      </c>
      <c r="C95" s="13">
        <v>970</v>
      </c>
      <c r="D95" s="14">
        <v>45474</v>
      </c>
      <c r="E95" s="12"/>
      <c r="F95" s="13">
        <v>50</v>
      </c>
      <c r="G95" s="14">
        <v>45566</v>
      </c>
      <c r="H95" s="12"/>
      <c r="I95" s="15"/>
      <c r="J95" s="12"/>
      <c r="K95" s="15"/>
      <c r="L95" s="12"/>
      <c r="M95" s="16"/>
      <c r="N95" s="16"/>
      <c r="O95" s="16"/>
      <c r="P95" s="16"/>
    </row>
    <row r="96" spans="1:16" x14ac:dyDescent="0.3">
      <c r="A96" s="11" t="s">
        <v>19</v>
      </c>
      <c r="B96" s="13">
        <v>15</v>
      </c>
      <c r="C96" s="13">
        <v>5</v>
      </c>
      <c r="D96" s="22">
        <v>45566</v>
      </c>
      <c r="E96" s="12"/>
      <c r="F96" s="13">
        <v>3</v>
      </c>
      <c r="G96" s="22">
        <v>45352</v>
      </c>
      <c r="H96" s="12"/>
      <c r="I96" s="15"/>
      <c r="J96" s="12"/>
      <c r="K96" s="15"/>
      <c r="L96" s="12"/>
      <c r="M96" s="16"/>
      <c r="N96" s="16"/>
      <c r="O96" s="16"/>
      <c r="P96" s="16"/>
    </row>
    <row r="97" spans="1:16" x14ac:dyDescent="0.3">
      <c r="A97" s="11" t="s">
        <v>20</v>
      </c>
      <c r="B97" s="13">
        <v>22</v>
      </c>
      <c r="C97" s="13">
        <v>12</v>
      </c>
      <c r="D97" s="22">
        <v>45536</v>
      </c>
      <c r="E97" s="12"/>
      <c r="F97" s="13">
        <v>6</v>
      </c>
      <c r="G97" s="14">
        <v>45536</v>
      </c>
      <c r="H97" s="12"/>
      <c r="I97" s="15"/>
      <c r="J97" s="12"/>
      <c r="K97" s="15"/>
      <c r="L97" s="12"/>
      <c r="M97" s="16"/>
      <c r="N97" s="16"/>
      <c r="O97" s="16"/>
      <c r="P97" s="16"/>
    </row>
    <row r="98" spans="1:16" x14ac:dyDescent="0.3">
      <c r="A98" s="11" t="s">
        <v>21</v>
      </c>
      <c r="B98" s="13">
        <v>110</v>
      </c>
      <c r="C98" s="13">
        <v>36</v>
      </c>
      <c r="D98" s="22">
        <v>45444</v>
      </c>
      <c r="E98" s="12"/>
      <c r="F98" s="13">
        <v>5</v>
      </c>
      <c r="G98" s="22">
        <v>45323</v>
      </c>
      <c r="H98" s="12"/>
      <c r="I98" s="15"/>
      <c r="J98" s="12"/>
      <c r="K98" s="15"/>
      <c r="L98" s="12"/>
      <c r="M98" s="16"/>
      <c r="N98" s="16"/>
      <c r="O98" s="16"/>
      <c r="P98" s="16"/>
    </row>
    <row r="99" spans="1:16" x14ac:dyDescent="0.3">
      <c r="A99" s="11" t="s">
        <v>22</v>
      </c>
      <c r="B99" s="13">
        <v>6</v>
      </c>
      <c r="C99" s="13">
        <v>2</v>
      </c>
      <c r="D99" s="14">
        <v>45352</v>
      </c>
      <c r="E99" s="12"/>
      <c r="F99" s="13">
        <v>0</v>
      </c>
      <c r="G99" s="12">
        <v>0</v>
      </c>
      <c r="H99" s="12"/>
      <c r="I99" s="15"/>
      <c r="J99" s="12"/>
      <c r="K99" s="15"/>
      <c r="L99" s="12"/>
      <c r="M99" s="16"/>
      <c r="N99" s="16"/>
      <c r="O99" s="16"/>
      <c r="P99" s="16"/>
    </row>
    <row r="100" spans="1:16" x14ac:dyDescent="0.3">
      <c r="A100" s="17" t="s">
        <v>23</v>
      </c>
      <c r="B100" s="21"/>
      <c r="C100" s="21"/>
      <c r="D100" s="16"/>
      <c r="E100" s="16"/>
      <c r="F100" s="21"/>
      <c r="G100" s="16"/>
      <c r="H100" s="16"/>
      <c r="I100" s="18"/>
      <c r="J100" s="18"/>
      <c r="K100" s="18"/>
      <c r="L100" s="18"/>
      <c r="M100" s="20"/>
      <c r="N100" s="20"/>
      <c r="O100" s="19"/>
      <c r="P100" s="19"/>
    </row>
    <row r="101" spans="1:16" x14ac:dyDescent="0.3">
      <c r="A101" s="10" t="s">
        <v>33</v>
      </c>
    </row>
    <row r="102" spans="1:16" ht="13.95" customHeight="1" x14ac:dyDescent="0.3">
      <c r="A102" s="63" t="s">
        <v>2</v>
      </c>
      <c r="B102" s="63" t="s">
        <v>3</v>
      </c>
      <c r="C102" s="63" t="s">
        <v>34</v>
      </c>
      <c r="D102" s="63" t="s">
        <v>4</v>
      </c>
      <c r="E102" s="63" t="s">
        <v>5</v>
      </c>
      <c r="F102" s="63" t="s">
        <v>35</v>
      </c>
      <c r="G102" s="63" t="s">
        <v>6</v>
      </c>
      <c r="H102" s="63" t="s">
        <v>7</v>
      </c>
      <c r="I102" s="63" t="s">
        <v>8</v>
      </c>
      <c r="J102" s="63" t="s">
        <v>9</v>
      </c>
      <c r="K102" s="63" t="s">
        <v>10</v>
      </c>
      <c r="L102" s="63" t="s">
        <v>11</v>
      </c>
      <c r="M102" s="63" t="s">
        <v>12</v>
      </c>
      <c r="N102" s="63" t="s">
        <v>13</v>
      </c>
      <c r="O102" s="63" t="s">
        <v>14</v>
      </c>
      <c r="P102" s="63" t="s">
        <v>15</v>
      </c>
    </row>
    <row r="103" spans="1:16" ht="39.299999999999997" customHeight="1" x14ac:dyDescent="0.3">
      <c r="A103" s="64"/>
      <c r="B103" s="64"/>
      <c r="C103" s="64"/>
      <c r="D103" s="64"/>
      <c r="E103" s="64"/>
      <c r="F103" s="64"/>
      <c r="G103" s="64"/>
      <c r="H103" s="64"/>
      <c r="I103" s="64"/>
      <c r="J103" s="64"/>
      <c r="K103" s="64"/>
      <c r="L103" s="64"/>
      <c r="M103" s="64"/>
      <c r="N103" s="64"/>
      <c r="O103" s="64"/>
      <c r="P103" s="64"/>
    </row>
    <row r="104" spans="1:16" x14ac:dyDescent="0.3">
      <c r="A104" s="11" t="s">
        <v>16</v>
      </c>
      <c r="B104" s="13">
        <v>450</v>
      </c>
      <c r="C104" s="13">
        <v>10</v>
      </c>
      <c r="D104" s="14">
        <v>45352</v>
      </c>
      <c r="E104" s="12"/>
      <c r="F104" s="13">
        <v>0</v>
      </c>
      <c r="G104" s="12">
        <v>0</v>
      </c>
      <c r="H104" s="12"/>
      <c r="I104" s="15"/>
      <c r="J104" s="12"/>
      <c r="K104" s="15"/>
      <c r="L104" s="12"/>
      <c r="M104" s="16"/>
      <c r="N104" s="16"/>
      <c r="O104" s="16"/>
      <c r="P104" s="16"/>
    </row>
    <row r="105" spans="1:16" x14ac:dyDescent="0.3">
      <c r="A105" s="11" t="s">
        <v>17</v>
      </c>
      <c r="B105" s="13">
        <v>60</v>
      </c>
      <c r="C105" s="13">
        <v>30</v>
      </c>
      <c r="D105" s="14">
        <v>45413</v>
      </c>
      <c r="E105" s="12"/>
      <c r="F105" s="13">
        <v>0</v>
      </c>
      <c r="G105" s="12">
        <v>0</v>
      </c>
      <c r="H105" s="12"/>
      <c r="I105" s="15"/>
      <c r="J105" s="12"/>
      <c r="K105" s="15"/>
      <c r="L105" s="12"/>
      <c r="M105" s="16"/>
      <c r="N105" s="16"/>
      <c r="O105" s="16"/>
      <c r="P105" s="16"/>
    </row>
    <row r="106" spans="1:16" x14ac:dyDescent="0.3">
      <c r="A106" s="11" t="s">
        <v>18</v>
      </c>
      <c r="B106" s="13">
        <v>3675</v>
      </c>
      <c r="C106" s="13">
        <v>895</v>
      </c>
      <c r="D106" s="14">
        <v>45474</v>
      </c>
      <c r="E106" s="12"/>
      <c r="F106" s="13">
        <v>50</v>
      </c>
      <c r="G106" s="14">
        <v>45323</v>
      </c>
      <c r="H106" s="12"/>
      <c r="I106" s="15"/>
      <c r="J106" s="12"/>
      <c r="K106" s="15"/>
      <c r="L106" s="12"/>
      <c r="M106" s="16"/>
      <c r="N106" s="16"/>
      <c r="O106" s="16"/>
      <c r="P106" s="16"/>
    </row>
    <row r="107" spans="1:16" x14ac:dyDescent="0.3">
      <c r="A107" s="11" t="s">
        <v>19</v>
      </c>
      <c r="B107" s="13">
        <v>88</v>
      </c>
      <c r="C107" s="13">
        <v>0</v>
      </c>
      <c r="D107" s="12">
        <v>0</v>
      </c>
      <c r="E107" s="12"/>
      <c r="F107" s="13">
        <v>3</v>
      </c>
      <c r="G107" s="22">
        <v>45505</v>
      </c>
      <c r="H107" s="12"/>
      <c r="I107" s="15"/>
      <c r="J107" s="12"/>
      <c r="K107" s="15"/>
      <c r="L107" s="12"/>
      <c r="M107" s="16"/>
      <c r="N107" s="16"/>
      <c r="O107" s="16"/>
      <c r="P107" s="16"/>
    </row>
    <row r="108" spans="1:16" x14ac:dyDescent="0.3">
      <c r="A108" s="11" t="s">
        <v>20</v>
      </c>
      <c r="B108" s="13">
        <v>36</v>
      </c>
      <c r="C108" s="13">
        <v>8</v>
      </c>
      <c r="D108" s="22">
        <v>45505</v>
      </c>
      <c r="E108" s="12"/>
      <c r="F108" s="13">
        <v>6</v>
      </c>
      <c r="G108" s="14">
        <v>45352</v>
      </c>
      <c r="H108" s="12"/>
      <c r="I108" s="15"/>
      <c r="J108" s="12"/>
      <c r="K108" s="15"/>
      <c r="L108" s="12"/>
      <c r="M108" s="16"/>
      <c r="N108" s="16"/>
      <c r="O108" s="16"/>
      <c r="P108" s="16"/>
    </row>
    <row r="109" spans="1:16" x14ac:dyDescent="0.3">
      <c r="A109" s="11" t="s">
        <v>21</v>
      </c>
      <c r="B109" s="13">
        <v>75</v>
      </c>
      <c r="C109" s="13">
        <v>23</v>
      </c>
      <c r="D109" s="22">
        <v>45323</v>
      </c>
      <c r="E109" s="12"/>
      <c r="F109" s="13">
        <v>0</v>
      </c>
      <c r="G109" s="12">
        <v>0</v>
      </c>
      <c r="H109" s="12"/>
      <c r="I109" s="15"/>
      <c r="J109" s="12"/>
      <c r="K109" s="15"/>
      <c r="L109" s="12"/>
      <c r="M109" s="16"/>
      <c r="N109" s="16"/>
      <c r="O109" s="16"/>
      <c r="P109" s="16"/>
    </row>
    <row r="110" spans="1:16" x14ac:dyDescent="0.3">
      <c r="A110" s="11" t="s">
        <v>22</v>
      </c>
      <c r="B110" s="13">
        <v>24</v>
      </c>
      <c r="C110" s="13">
        <v>0</v>
      </c>
      <c r="D110" s="12">
        <v>0</v>
      </c>
      <c r="E110" s="12"/>
      <c r="F110" s="13">
        <v>7</v>
      </c>
      <c r="G110" s="22">
        <v>45566</v>
      </c>
      <c r="H110" s="12"/>
      <c r="I110" s="15"/>
      <c r="J110" s="12"/>
      <c r="K110" s="15"/>
      <c r="L110" s="12"/>
      <c r="M110" s="16"/>
      <c r="N110" s="16"/>
      <c r="O110" s="16"/>
      <c r="P110" s="16"/>
    </row>
    <row r="111" spans="1:16" x14ac:dyDescent="0.3">
      <c r="A111" s="17" t="s">
        <v>23</v>
      </c>
      <c r="B111" s="21"/>
      <c r="C111" s="21"/>
      <c r="D111" s="16"/>
      <c r="E111" s="16"/>
      <c r="F111" s="21"/>
      <c r="G111" s="16"/>
      <c r="H111" s="16"/>
      <c r="I111" s="18"/>
      <c r="J111" s="18"/>
      <c r="K111" s="18"/>
      <c r="L111" s="18"/>
      <c r="M111" s="20"/>
      <c r="N111" s="20"/>
      <c r="O111" s="19"/>
      <c r="P111" s="19"/>
    </row>
  </sheetData>
  <mergeCells count="160">
    <mergeCell ref="M3:M4"/>
    <mergeCell ref="N3:N4"/>
    <mergeCell ref="O3:O4"/>
    <mergeCell ref="P3:P4"/>
    <mergeCell ref="A14:A15"/>
    <mergeCell ref="B14:B15"/>
    <mergeCell ref="C14:C15"/>
    <mergeCell ref="D14:D15"/>
    <mergeCell ref="E14:E15"/>
    <mergeCell ref="F14:F15"/>
    <mergeCell ref="G3:G4"/>
    <mergeCell ref="H3:H4"/>
    <mergeCell ref="I3:I4"/>
    <mergeCell ref="J3:J4"/>
    <mergeCell ref="K3:K4"/>
    <mergeCell ref="L3:L4"/>
    <mergeCell ref="A3:A4"/>
    <mergeCell ref="B3:B4"/>
    <mergeCell ref="C3:C4"/>
    <mergeCell ref="D3:D4"/>
    <mergeCell ref="E3:E4"/>
    <mergeCell ref="F3:F4"/>
    <mergeCell ref="M14:M15"/>
    <mergeCell ref="N14:N15"/>
    <mergeCell ref="O14:O15"/>
    <mergeCell ref="P14:P15"/>
    <mergeCell ref="A25:A26"/>
    <mergeCell ref="B25:B26"/>
    <mergeCell ref="C25:C26"/>
    <mergeCell ref="D25:D26"/>
    <mergeCell ref="E25:E26"/>
    <mergeCell ref="F25:F26"/>
    <mergeCell ref="G14:G15"/>
    <mergeCell ref="H14:H15"/>
    <mergeCell ref="I14:I15"/>
    <mergeCell ref="J14:J15"/>
    <mergeCell ref="K14:K15"/>
    <mergeCell ref="L14:L15"/>
    <mergeCell ref="M25:M26"/>
    <mergeCell ref="N25:N26"/>
    <mergeCell ref="O25:O26"/>
    <mergeCell ref="P25:P26"/>
    <mergeCell ref="J25:J26"/>
    <mergeCell ref="K25:K26"/>
    <mergeCell ref="L25:L26"/>
    <mergeCell ref="B36:B37"/>
    <mergeCell ref="C36:C37"/>
    <mergeCell ref="D36:D37"/>
    <mergeCell ref="E36:E37"/>
    <mergeCell ref="F36:F37"/>
    <mergeCell ref="G25:G26"/>
    <mergeCell ref="H25:H26"/>
    <mergeCell ref="I25:I26"/>
    <mergeCell ref="G47:G48"/>
    <mergeCell ref="H47:H48"/>
    <mergeCell ref="I47:I48"/>
    <mergeCell ref="M36:M37"/>
    <mergeCell ref="N36:N37"/>
    <mergeCell ref="O36:O37"/>
    <mergeCell ref="P36:P37"/>
    <mergeCell ref="A47:A48"/>
    <mergeCell ref="B47:B48"/>
    <mergeCell ref="C47:C48"/>
    <mergeCell ref="D47:D48"/>
    <mergeCell ref="E47:E48"/>
    <mergeCell ref="F47:F48"/>
    <mergeCell ref="G36:G37"/>
    <mergeCell ref="H36:H37"/>
    <mergeCell ref="I36:I37"/>
    <mergeCell ref="J36:J37"/>
    <mergeCell ref="K36:K37"/>
    <mergeCell ref="L36:L37"/>
    <mergeCell ref="M47:M48"/>
    <mergeCell ref="N47:N48"/>
    <mergeCell ref="O47:O48"/>
    <mergeCell ref="P47:P48"/>
    <mergeCell ref="J47:J48"/>
    <mergeCell ref="K47:K48"/>
    <mergeCell ref="L47:L48"/>
    <mergeCell ref="A36:A37"/>
    <mergeCell ref="N58:N59"/>
    <mergeCell ref="O58:O59"/>
    <mergeCell ref="P58:P59"/>
    <mergeCell ref="A69:A70"/>
    <mergeCell ref="B69:B70"/>
    <mergeCell ref="C69:C70"/>
    <mergeCell ref="D69:D70"/>
    <mergeCell ref="E69:E70"/>
    <mergeCell ref="F69:F70"/>
    <mergeCell ref="G58:G59"/>
    <mergeCell ref="H58:H59"/>
    <mergeCell ref="I58:I59"/>
    <mergeCell ref="J58:J59"/>
    <mergeCell ref="K58:K59"/>
    <mergeCell ref="L58:L59"/>
    <mergeCell ref="M69:M70"/>
    <mergeCell ref="N69:N70"/>
    <mergeCell ref="O69:O70"/>
    <mergeCell ref="P69:P70"/>
    <mergeCell ref="J69:J70"/>
    <mergeCell ref="K69:K70"/>
    <mergeCell ref="L69:L70"/>
    <mergeCell ref="A58:A59"/>
    <mergeCell ref="B58:B59"/>
    <mergeCell ref="C80:C81"/>
    <mergeCell ref="D80:D81"/>
    <mergeCell ref="E80:E81"/>
    <mergeCell ref="F80:F81"/>
    <mergeCell ref="G69:G70"/>
    <mergeCell ref="H69:H70"/>
    <mergeCell ref="I69:I70"/>
    <mergeCell ref="M58:M59"/>
    <mergeCell ref="C58:C59"/>
    <mergeCell ref="D58:D59"/>
    <mergeCell ref="E58:E59"/>
    <mergeCell ref="F58:F59"/>
    <mergeCell ref="M80:M81"/>
    <mergeCell ref="N80:N81"/>
    <mergeCell ref="O80:O81"/>
    <mergeCell ref="P80:P81"/>
    <mergeCell ref="A91:A92"/>
    <mergeCell ref="B91:B92"/>
    <mergeCell ref="C91:C92"/>
    <mergeCell ref="D91:D92"/>
    <mergeCell ref="E91:E92"/>
    <mergeCell ref="F91:F92"/>
    <mergeCell ref="G80:G81"/>
    <mergeCell ref="H80:H81"/>
    <mergeCell ref="I80:I81"/>
    <mergeCell ref="J80:J81"/>
    <mergeCell ref="K80:K81"/>
    <mergeCell ref="L80:L81"/>
    <mergeCell ref="M91:M92"/>
    <mergeCell ref="N91:N92"/>
    <mergeCell ref="O91:O92"/>
    <mergeCell ref="P91:P92"/>
    <mergeCell ref="J91:J92"/>
    <mergeCell ref="K91:K92"/>
    <mergeCell ref="L91:L92"/>
    <mergeCell ref="A80:A81"/>
    <mergeCell ref="B80:B81"/>
    <mergeCell ref="A102:A103"/>
    <mergeCell ref="B102:B103"/>
    <mergeCell ref="C102:C103"/>
    <mergeCell ref="D102:D103"/>
    <mergeCell ref="E102:E103"/>
    <mergeCell ref="F102:F103"/>
    <mergeCell ref="G91:G92"/>
    <mergeCell ref="H91:H92"/>
    <mergeCell ref="I91:I92"/>
    <mergeCell ref="M102:M103"/>
    <mergeCell ref="N102:N103"/>
    <mergeCell ref="O102:O103"/>
    <mergeCell ref="P102:P103"/>
    <mergeCell ref="G102:G103"/>
    <mergeCell ref="H102:H103"/>
    <mergeCell ref="I102:I103"/>
    <mergeCell ref="J102:J103"/>
    <mergeCell ref="K102:K103"/>
    <mergeCell ref="L102:L10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5"/>
  <sheetViews>
    <sheetView workbookViewId="0">
      <selection activeCell="A26" sqref="A26"/>
    </sheetView>
  </sheetViews>
  <sheetFormatPr defaultRowHeight="14.4" x14ac:dyDescent="0.3"/>
  <cols>
    <col min="1" max="1" width="90.5546875" customWidth="1"/>
  </cols>
  <sheetData>
    <row r="1" spans="1:1" ht="18" x14ac:dyDescent="0.3">
      <c r="A1" s="1" t="s">
        <v>0</v>
      </c>
    </row>
    <row r="2" spans="1:1" ht="31.2" x14ac:dyDescent="0.3">
      <c r="A2" s="2" t="s">
        <v>36</v>
      </c>
    </row>
    <row r="3" spans="1:1" ht="15.6" x14ac:dyDescent="0.3">
      <c r="A3" s="3"/>
    </row>
    <row r="4" spans="1:1" ht="15.6" x14ac:dyDescent="0.3">
      <c r="A4" s="4" t="s">
        <v>37</v>
      </c>
    </row>
    <row r="5" spans="1:1" ht="15.6" x14ac:dyDescent="0.3">
      <c r="A5" s="3" t="s">
        <v>38</v>
      </c>
    </row>
    <row r="6" spans="1:1" ht="15.6" x14ac:dyDescent="0.3">
      <c r="A6" s="5" t="s">
        <v>39</v>
      </c>
    </row>
    <row r="7" spans="1:1" ht="15.6" x14ac:dyDescent="0.3">
      <c r="A7" s="3"/>
    </row>
    <row r="8" spans="1:1" ht="15.6" x14ac:dyDescent="0.3">
      <c r="A8" s="6" t="s">
        <v>40</v>
      </c>
    </row>
    <row r="9" spans="1:1" ht="15.6" x14ac:dyDescent="0.3">
      <c r="A9" s="23" t="s">
        <v>41</v>
      </c>
    </row>
    <row r="10" spans="1:1" ht="15.6" x14ac:dyDescent="0.3">
      <c r="A10" s="9" t="s">
        <v>42</v>
      </c>
    </row>
    <row r="11" spans="1:1" ht="46.8" x14ac:dyDescent="0.3">
      <c r="A11" s="24" t="s">
        <v>43</v>
      </c>
    </row>
    <row r="12" spans="1:1" ht="15.6" x14ac:dyDescent="0.3">
      <c r="A12" s="23" t="s">
        <v>44</v>
      </c>
    </row>
    <row r="13" spans="1:1" ht="62.4" x14ac:dyDescent="0.3">
      <c r="A13" s="6" t="s">
        <v>45</v>
      </c>
    </row>
    <row r="14" spans="1:1" ht="15.6" x14ac:dyDescent="0.3">
      <c r="A14" s="9"/>
    </row>
    <row r="15" spans="1:1" ht="15.6" x14ac:dyDescent="0.3">
      <c r="A15" s="26"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3"/>
  <sheetViews>
    <sheetView workbookViewId="0">
      <selection activeCell="A7" sqref="A7"/>
    </sheetView>
  </sheetViews>
  <sheetFormatPr defaultRowHeight="14.4" x14ac:dyDescent="0.3"/>
  <cols>
    <col min="1" max="1" width="92.77734375" customWidth="1"/>
  </cols>
  <sheetData>
    <row r="1" spans="1:1" ht="15.6" x14ac:dyDescent="0.3">
      <c r="A1" s="37" t="s">
        <v>0</v>
      </c>
    </row>
    <row r="2" spans="1:1" ht="31.2" x14ac:dyDescent="0.3">
      <c r="A2" s="2" t="s">
        <v>64</v>
      </c>
    </row>
    <row r="3" spans="1:1" ht="15.6" x14ac:dyDescent="0.3">
      <c r="A3" s="3"/>
    </row>
    <row r="4" spans="1:1" ht="15.6" x14ac:dyDescent="0.3">
      <c r="A4" s="6" t="s">
        <v>65</v>
      </c>
    </row>
    <row r="5" spans="1:1" ht="15.6" x14ac:dyDescent="0.3">
      <c r="A5" s="23" t="s">
        <v>41</v>
      </c>
    </row>
    <row r="6" spans="1:1" ht="15.6" x14ac:dyDescent="0.3">
      <c r="A6" s="9" t="s">
        <v>66</v>
      </c>
    </row>
    <row r="7" spans="1:1" ht="31.2" x14ac:dyDescent="0.3">
      <c r="A7" s="38" t="s">
        <v>67</v>
      </c>
    </row>
    <row r="8" spans="1:1" ht="15.6" x14ac:dyDescent="0.3">
      <c r="A8" s="24" t="s">
        <v>68</v>
      </c>
    </row>
    <row r="9" spans="1:1" ht="18" x14ac:dyDescent="0.4">
      <c r="A9" s="23" t="s">
        <v>70</v>
      </c>
    </row>
    <row r="10" spans="1:1" ht="31.2" x14ac:dyDescent="0.3">
      <c r="A10" s="39" t="s">
        <v>71</v>
      </c>
    </row>
    <row r="11" spans="1:1" ht="15.6" x14ac:dyDescent="0.3">
      <c r="A11" s="42" t="s">
        <v>41</v>
      </c>
    </row>
    <row r="12" spans="1:1" ht="15.6" x14ac:dyDescent="0.3">
      <c r="A12" s="23" t="s">
        <v>112</v>
      </c>
    </row>
    <row r="13" spans="1:1" ht="15.6" x14ac:dyDescent="0.3">
      <c r="A13"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0"/>
  <sheetViews>
    <sheetView workbookViewId="0">
      <selection activeCell="D18" sqref="D18"/>
    </sheetView>
  </sheetViews>
  <sheetFormatPr defaultRowHeight="14.4" x14ac:dyDescent="0.3"/>
  <cols>
    <col min="1" max="1" width="49.33203125" customWidth="1"/>
    <col min="4" max="4" width="10.44140625" bestFit="1" customWidth="1"/>
  </cols>
  <sheetData>
    <row r="1" spans="1:11" ht="15.6" x14ac:dyDescent="0.3">
      <c r="A1" s="7" t="s">
        <v>47</v>
      </c>
      <c r="B1" s="27"/>
      <c r="C1" s="27"/>
      <c r="D1" s="27"/>
      <c r="E1" s="27"/>
      <c r="F1" s="27"/>
      <c r="G1" s="27"/>
      <c r="H1" s="27"/>
      <c r="I1" s="27"/>
      <c r="J1" s="27"/>
      <c r="K1" s="27"/>
    </row>
    <row r="2" spans="1:11" ht="15.6" x14ac:dyDescent="0.3">
      <c r="A2" s="25" t="s">
        <v>48</v>
      </c>
      <c r="B2" s="28"/>
      <c r="C2" s="28"/>
      <c r="D2" s="28"/>
      <c r="E2" s="28"/>
      <c r="F2" s="28"/>
      <c r="G2" s="28"/>
      <c r="H2" s="28"/>
      <c r="I2" s="28"/>
      <c r="J2" s="28"/>
      <c r="K2" s="28"/>
    </row>
    <row r="3" spans="1:11" x14ac:dyDescent="0.3">
      <c r="A3" s="65" t="s">
        <v>49</v>
      </c>
      <c r="B3" s="66" t="s">
        <v>50</v>
      </c>
      <c r="C3" s="66"/>
      <c r="D3" s="66"/>
      <c r="E3" s="66"/>
      <c r="F3" s="66"/>
      <c r="G3" s="66"/>
      <c r="H3" s="66"/>
      <c r="I3" s="66"/>
      <c r="J3" s="66"/>
      <c r="K3" s="66"/>
    </row>
    <row r="4" spans="1:11" x14ac:dyDescent="0.3">
      <c r="A4" s="65"/>
      <c r="B4" s="29">
        <v>1</v>
      </c>
      <c r="C4" s="29">
        <v>2</v>
      </c>
      <c r="D4" s="29">
        <v>3</v>
      </c>
      <c r="E4" s="29">
        <v>4</v>
      </c>
      <c r="F4" s="29">
        <v>5</v>
      </c>
      <c r="G4" s="29">
        <v>6</v>
      </c>
      <c r="H4" s="29">
        <v>7</v>
      </c>
      <c r="I4" s="29">
        <v>8</v>
      </c>
      <c r="J4" s="29">
        <v>9</v>
      </c>
      <c r="K4" s="29">
        <v>10</v>
      </c>
    </row>
    <row r="5" spans="1:11" x14ac:dyDescent="0.3">
      <c r="A5" s="30" t="s">
        <v>51</v>
      </c>
      <c r="B5" s="13">
        <v>950</v>
      </c>
      <c r="C5" s="13">
        <v>1320</v>
      </c>
      <c r="D5" s="13">
        <v>1580</v>
      </c>
      <c r="E5" s="13">
        <v>2230</v>
      </c>
      <c r="F5" s="13">
        <v>990</v>
      </c>
      <c r="G5" s="13">
        <v>1870</v>
      </c>
      <c r="H5" s="13">
        <v>1445</v>
      </c>
      <c r="I5" s="13">
        <v>1270</v>
      </c>
      <c r="J5" s="13">
        <v>845</v>
      </c>
      <c r="K5" s="13">
        <v>3020</v>
      </c>
    </row>
    <row r="6" spans="1:11" x14ac:dyDescent="0.3">
      <c r="A6" s="31" t="s">
        <v>52</v>
      </c>
      <c r="B6" s="13">
        <v>15</v>
      </c>
      <c r="C6" s="13">
        <v>8</v>
      </c>
      <c r="D6" s="13">
        <v>10</v>
      </c>
      <c r="E6" s="13">
        <v>20</v>
      </c>
      <c r="F6" s="13">
        <v>14</v>
      </c>
      <c r="G6" s="13">
        <v>0</v>
      </c>
      <c r="H6" s="13">
        <v>18</v>
      </c>
      <c r="I6" s="13">
        <v>25</v>
      </c>
      <c r="J6" s="13">
        <v>32</v>
      </c>
      <c r="K6" s="13">
        <v>12</v>
      </c>
    </row>
    <row r="7" spans="1:11" x14ac:dyDescent="0.3">
      <c r="A7" s="31" t="s">
        <v>53</v>
      </c>
      <c r="B7" s="13">
        <v>22</v>
      </c>
      <c r="C7" s="13">
        <v>14</v>
      </c>
      <c r="D7" s="13">
        <v>0</v>
      </c>
      <c r="E7" s="13">
        <v>47</v>
      </c>
      <c r="F7" s="13">
        <v>1.5</v>
      </c>
      <c r="G7" s="13">
        <v>22</v>
      </c>
      <c r="H7" s="13">
        <v>0</v>
      </c>
      <c r="I7" s="13">
        <v>18</v>
      </c>
      <c r="J7" s="13">
        <v>24</v>
      </c>
      <c r="K7" s="13">
        <v>18</v>
      </c>
    </row>
    <row r="8" spans="1:11" x14ac:dyDescent="0.3">
      <c r="A8" s="31" t="s">
        <v>54</v>
      </c>
      <c r="B8" s="13">
        <v>17</v>
      </c>
      <c r="C8" s="13">
        <v>11</v>
      </c>
      <c r="D8" s="13">
        <v>26</v>
      </c>
      <c r="E8" s="13">
        <v>0</v>
      </c>
      <c r="F8" s="13">
        <v>16</v>
      </c>
      <c r="G8" s="13">
        <v>31</v>
      </c>
      <c r="H8" s="13">
        <v>23</v>
      </c>
      <c r="I8" s="13">
        <v>0</v>
      </c>
      <c r="J8" s="13">
        <v>3</v>
      </c>
      <c r="K8" s="13">
        <v>35</v>
      </c>
    </row>
    <row r="9" spans="1:11" x14ac:dyDescent="0.3">
      <c r="A9" s="31" t="s">
        <v>55</v>
      </c>
      <c r="B9" s="13">
        <v>30</v>
      </c>
      <c r="C9" s="13">
        <v>16</v>
      </c>
      <c r="D9" s="13">
        <v>12</v>
      </c>
      <c r="E9" s="13">
        <v>9</v>
      </c>
      <c r="F9" s="13">
        <v>0</v>
      </c>
      <c r="G9" s="13">
        <v>10</v>
      </c>
      <c r="H9" s="13">
        <v>5</v>
      </c>
      <c r="I9" s="13">
        <v>7</v>
      </c>
      <c r="J9" s="13">
        <v>0</v>
      </c>
      <c r="K9" s="13">
        <v>8</v>
      </c>
    </row>
    <row r="10" spans="1:11" x14ac:dyDescent="0.3">
      <c r="A10" s="11" t="s">
        <v>56</v>
      </c>
      <c r="B10" s="13">
        <v>130000</v>
      </c>
      <c r="C10" s="13">
        <v>222000</v>
      </c>
      <c r="D10" s="13">
        <v>520000</v>
      </c>
      <c r="E10" s="13">
        <v>315000</v>
      </c>
      <c r="F10" s="13">
        <v>127000</v>
      </c>
      <c r="G10" s="13">
        <v>248000</v>
      </c>
      <c r="H10" s="13">
        <v>470000</v>
      </c>
      <c r="I10" s="13">
        <v>196000</v>
      </c>
      <c r="J10" s="13">
        <v>256000</v>
      </c>
      <c r="K10" s="13">
        <v>309000</v>
      </c>
    </row>
    <row r="11" spans="1:11" x14ac:dyDescent="0.3">
      <c r="A11" s="11" t="s">
        <v>57</v>
      </c>
      <c r="B11" s="14">
        <v>45017</v>
      </c>
      <c r="C11" s="14">
        <v>44958</v>
      </c>
      <c r="D11" s="14">
        <v>45214</v>
      </c>
      <c r="E11" s="14">
        <v>44941</v>
      </c>
      <c r="F11" s="14">
        <v>44986</v>
      </c>
      <c r="G11" s="14">
        <v>45139</v>
      </c>
      <c r="H11" s="14">
        <v>45184</v>
      </c>
      <c r="I11" s="14">
        <v>45245</v>
      </c>
      <c r="J11" s="14">
        <v>45047</v>
      </c>
      <c r="K11" s="14">
        <v>45108</v>
      </c>
    </row>
    <row r="12" spans="1:11" x14ac:dyDescent="0.3">
      <c r="A12" s="32" t="s">
        <v>58</v>
      </c>
      <c r="B12" s="33"/>
      <c r="C12" s="33"/>
      <c r="D12" s="62">
        <v>2.5</v>
      </c>
      <c r="E12" s="33"/>
      <c r="F12" s="33"/>
      <c r="G12" s="33"/>
      <c r="H12" s="33"/>
      <c r="I12" s="33"/>
      <c r="J12" s="33"/>
      <c r="K12" s="33"/>
    </row>
    <row r="13" spans="1:11" x14ac:dyDescent="0.3">
      <c r="A13" s="11" t="s">
        <v>59</v>
      </c>
      <c r="B13" s="13">
        <v>540000</v>
      </c>
      <c r="C13" s="13">
        <v>780000</v>
      </c>
      <c r="D13" s="13">
        <v>110000</v>
      </c>
      <c r="E13" s="13">
        <v>198000</v>
      </c>
      <c r="F13" s="13">
        <v>170000</v>
      </c>
      <c r="G13" s="13">
        <v>56000</v>
      </c>
      <c r="H13" s="13">
        <v>94000</v>
      </c>
      <c r="I13" s="13">
        <v>187000</v>
      </c>
      <c r="J13" s="13">
        <v>204000</v>
      </c>
      <c r="K13" s="13">
        <v>125000</v>
      </c>
    </row>
    <row r="14" spans="1:11" x14ac:dyDescent="0.3">
      <c r="A14" s="11" t="s">
        <v>60</v>
      </c>
      <c r="B14" s="14">
        <v>45245</v>
      </c>
      <c r="C14" s="14">
        <v>45122</v>
      </c>
      <c r="D14" s="14">
        <v>45139</v>
      </c>
      <c r="E14" s="14">
        <v>45017</v>
      </c>
      <c r="F14" s="14">
        <v>45214</v>
      </c>
      <c r="G14" s="14">
        <v>45245</v>
      </c>
      <c r="H14" s="14">
        <v>44958</v>
      </c>
      <c r="I14" s="14">
        <v>45261</v>
      </c>
      <c r="J14" s="14">
        <v>45184</v>
      </c>
      <c r="K14" s="14">
        <v>45000</v>
      </c>
    </row>
    <row r="15" spans="1:11" x14ac:dyDescent="0.3">
      <c r="A15" s="32" t="s">
        <v>58</v>
      </c>
      <c r="B15" s="33"/>
      <c r="C15" s="33"/>
      <c r="D15" s="33">
        <v>7</v>
      </c>
      <c r="E15" s="33"/>
      <c r="F15" s="33"/>
      <c r="G15" s="33"/>
      <c r="H15" s="33"/>
      <c r="I15" s="33"/>
      <c r="J15" s="33"/>
      <c r="K15" s="33"/>
    </row>
    <row r="16" spans="1:11" ht="16.649999999999999" customHeight="1" x14ac:dyDescent="0.3">
      <c r="A16" s="34" t="s">
        <v>61</v>
      </c>
      <c r="B16" s="13">
        <v>102</v>
      </c>
      <c r="C16" s="13">
        <v>155</v>
      </c>
      <c r="D16" s="13">
        <v>306</v>
      </c>
      <c r="E16" s="13">
        <v>177</v>
      </c>
      <c r="F16" s="13">
        <v>250</v>
      </c>
      <c r="G16" s="13">
        <v>111</v>
      </c>
      <c r="H16" s="13">
        <v>98</v>
      </c>
      <c r="I16" s="13">
        <v>140</v>
      </c>
      <c r="J16" s="13">
        <v>163</v>
      </c>
      <c r="K16" s="13">
        <v>294</v>
      </c>
    </row>
    <row r="17" spans="1:11" x14ac:dyDescent="0.3">
      <c r="A17" s="35" t="s">
        <v>62</v>
      </c>
      <c r="B17" s="36"/>
      <c r="C17" s="36"/>
      <c r="D17" s="36">
        <f>(D5-D6-D7-D8-D9)+(D10/1000)*D12/12-(D13/1000)*(12-D15)/12</f>
        <v>1594.5</v>
      </c>
      <c r="E17" s="36"/>
      <c r="F17" s="36"/>
      <c r="G17" s="36"/>
      <c r="H17" s="36"/>
      <c r="I17" s="36"/>
      <c r="J17" s="36"/>
      <c r="K17" s="36"/>
    </row>
    <row r="18" spans="1:11" x14ac:dyDescent="0.3">
      <c r="A18" s="35" t="s">
        <v>63</v>
      </c>
      <c r="B18" s="36"/>
      <c r="C18" s="36"/>
      <c r="D18" s="36">
        <f>(D16/D17)*100</f>
        <v>19.190968955785511</v>
      </c>
      <c r="E18" s="36"/>
      <c r="F18" s="36"/>
      <c r="G18" s="36"/>
      <c r="H18" s="36"/>
      <c r="I18" s="36"/>
      <c r="J18" s="36"/>
      <c r="K18" s="36"/>
    </row>
    <row r="19" spans="1:11" x14ac:dyDescent="0.3">
      <c r="A19" s="17" t="s">
        <v>111</v>
      </c>
      <c r="B19" s="57">
        <v>4</v>
      </c>
      <c r="C19" s="57">
        <v>6</v>
      </c>
      <c r="D19" s="57">
        <v>2</v>
      </c>
      <c r="E19" s="57">
        <v>6.5</v>
      </c>
      <c r="F19" s="57">
        <v>2.5</v>
      </c>
      <c r="G19" s="57">
        <v>10</v>
      </c>
      <c r="H19" s="57">
        <v>12</v>
      </c>
      <c r="I19" s="57">
        <v>7</v>
      </c>
      <c r="J19" s="57">
        <v>3.5</v>
      </c>
      <c r="K19" s="57">
        <v>4.5</v>
      </c>
    </row>
    <row r="20" spans="1:11" x14ac:dyDescent="0.3">
      <c r="A20" s="40" t="s">
        <v>69</v>
      </c>
      <c r="B20" s="41"/>
      <c r="C20" s="41"/>
      <c r="D20" s="41">
        <f>D19*D16/D17</f>
        <v>0.38381937911571024</v>
      </c>
      <c r="E20" s="41"/>
      <c r="F20" s="41"/>
      <c r="G20" s="41"/>
      <c r="H20" s="41"/>
      <c r="I20" s="41"/>
      <c r="J20" s="41"/>
      <c r="K20" s="41"/>
    </row>
  </sheetData>
  <mergeCells count="2">
    <mergeCell ref="A3:A4"/>
    <mergeCell ref="B3:K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9" sqref="A9"/>
    </sheetView>
  </sheetViews>
  <sheetFormatPr defaultRowHeight="14.4" x14ac:dyDescent="0.3"/>
  <cols>
    <col min="1" max="1" width="86" customWidth="1"/>
  </cols>
  <sheetData>
    <row r="1" spans="1:1" ht="15.6" x14ac:dyDescent="0.3">
      <c r="A1" s="37" t="s">
        <v>0</v>
      </c>
    </row>
    <row r="2" spans="1:1" ht="81.75" customHeight="1" x14ac:dyDescent="0.3">
      <c r="A2" s="54" t="s">
        <v>102</v>
      </c>
    </row>
    <row r="3" spans="1:1" ht="31.2" x14ac:dyDescent="0.3">
      <c r="A3" s="2" t="s">
        <v>108</v>
      </c>
    </row>
    <row r="4" spans="1:1" ht="15.6" x14ac:dyDescent="0.3">
      <c r="A4" s="3" t="s">
        <v>103</v>
      </c>
    </row>
    <row r="5" spans="1:1" ht="20.399999999999999" x14ac:dyDescent="0.3">
      <c r="A5" s="3" t="s">
        <v>104</v>
      </c>
    </row>
    <row r="6" spans="1:1" ht="15.6" x14ac:dyDescent="0.3">
      <c r="A6" s="3" t="s">
        <v>105</v>
      </c>
    </row>
    <row r="7" spans="1:1" ht="15.6" x14ac:dyDescent="0.3">
      <c r="A7" s="3" t="s">
        <v>106</v>
      </c>
    </row>
    <row r="8" spans="1:1" ht="18" x14ac:dyDescent="0.3">
      <c r="A8" s="3" t="s">
        <v>107</v>
      </c>
    </row>
    <row r="9" spans="1:1" ht="31.2" x14ac:dyDescent="0.3">
      <c r="A9" s="55" t="s">
        <v>110</v>
      </c>
    </row>
    <row r="10" spans="1:1" ht="15.6" x14ac:dyDescent="0.3">
      <c r="A10" s="23" t="s">
        <v>109</v>
      </c>
    </row>
    <row r="11" spans="1:1" ht="15.6" x14ac:dyDescent="0.3">
      <c r="A11" s="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36"/>
  <sheetViews>
    <sheetView zoomScale="82" workbookViewId="0">
      <selection activeCell="P22" sqref="P22"/>
    </sheetView>
  </sheetViews>
  <sheetFormatPr defaultRowHeight="14.4" x14ac:dyDescent="0.3"/>
  <cols>
    <col min="1" max="1" width="30.88671875" customWidth="1"/>
    <col min="13" max="13" width="17.6640625" customWidth="1"/>
    <col min="16" max="16" width="11.44140625" bestFit="1" customWidth="1"/>
  </cols>
  <sheetData>
    <row r="1" spans="1:23" ht="18" x14ac:dyDescent="0.35">
      <c r="A1" s="53" t="s">
        <v>99</v>
      </c>
      <c r="B1" s="43"/>
      <c r="C1" s="43"/>
      <c r="D1" s="43"/>
      <c r="E1" s="43"/>
      <c r="F1" s="43"/>
      <c r="G1" s="43"/>
      <c r="H1" s="43"/>
      <c r="I1" s="43"/>
      <c r="J1" s="43"/>
      <c r="K1" s="43"/>
    </row>
    <row r="2" spans="1:23" ht="18" x14ac:dyDescent="0.35">
      <c r="A2" s="25" t="s">
        <v>98</v>
      </c>
      <c r="B2" s="44"/>
      <c r="C2" s="44"/>
      <c r="D2" s="44"/>
      <c r="E2" s="44"/>
      <c r="F2" s="44"/>
      <c r="G2" s="44"/>
      <c r="H2" s="44"/>
      <c r="I2" s="44"/>
      <c r="J2" s="44"/>
      <c r="K2" s="44"/>
      <c r="M2" s="56" t="s">
        <v>101</v>
      </c>
      <c r="N2" s="45">
        <v>1</v>
      </c>
      <c r="O2" s="45">
        <v>2</v>
      </c>
      <c r="P2" s="45">
        <v>3</v>
      </c>
      <c r="Q2" s="45">
        <v>4</v>
      </c>
      <c r="R2" s="45">
        <v>5</v>
      </c>
      <c r="S2" s="45">
        <v>6</v>
      </c>
      <c r="T2" s="45">
        <v>7</v>
      </c>
      <c r="U2" s="45">
        <v>8</v>
      </c>
      <c r="V2" s="45">
        <v>9</v>
      </c>
      <c r="W2" s="45">
        <v>10</v>
      </c>
    </row>
    <row r="3" spans="1:23" ht="11.25" customHeight="1" x14ac:dyDescent="0.3">
      <c r="A3" s="67" t="s">
        <v>100</v>
      </c>
      <c r="B3" s="68" t="s">
        <v>50</v>
      </c>
      <c r="C3" s="68"/>
      <c r="D3" s="68"/>
      <c r="E3" s="68"/>
      <c r="F3" s="68"/>
      <c r="G3" s="68"/>
      <c r="H3" s="68"/>
      <c r="I3" s="68"/>
      <c r="J3" s="68"/>
      <c r="K3" s="68"/>
      <c r="M3" s="46" t="s">
        <v>72</v>
      </c>
      <c r="N3" s="47"/>
      <c r="O3" s="47"/>
      <c r="P3" s="47">
        <f>P15/P9*100</f>
        <v>88.628604140669083</v>
      </c>
      <c r="Q3" s="47"/>
      <c r="R3" s="47"/>
      <c r="S3" s="47"/>
      <c r="T3" s="47"/>
      <c r="U3" s="47"/>
      <c r="V3" s="47"/>
      <c r="W3" s="47"/>
    </row>
    <row r="4" spans="1:23" ht="10.8" customHeight="1" x14ac:dyDescent="0.3">
      <c r="A4" s="67"/>
      <c r="B4" s="48">
        <v>1</v>
      </c>
      <c r="C4" s="48">
        <v>2</v>
      </c>
      <c r="D4" s="48">
        <v>3</v>
      </c>
      <c r="E4" s="48">
        <v>4</v>
      </c>
      <c r="F4" s="48">
        <v>5</v>
      </c>
      <c r="G4" s="48">
        <v>6</v>
      </c>
      <c r="H4" s="48">
        <v>7</v>
      </c>
      <c r="I4" s="48">
        <v>8</v>
      </c>
      <c r="J4" s="48">
        <v>9</v>
      </c>
      <c r="K4" s="48">
        <v>10</v>
      </c>
      <c r="M4" s="46" t="s">
        <v>73</v>
      </c>
      <c r="N4" s="47"/>
      <c r="O4" s="47"/>
      <c r="P4" s="47">
        <f t="shared" ref="P4:P7" si="0">P16/P10*100</f>
        <v>112.83039033457247</v>
      </c>
      <c r="Q4" s="47"/>
      <c r="R4" s="47"/>
      <c r="S4" s="47"/>
      <c r="T4" s="47"/>
      <c r="U4" s="47"/>
      <c r="V4" s="47"/>
      <c r="W4" s="47"/>
    </row>
    <row r="5" spans="1:23" ht="10.199999999999999" customHeight="1" x14ac:dyDescent="0.3">
      <c r="A5" s="48" t="s">
        <v>74</v>
      </c>
      <c r="B5" s="48"/>
      <c r="C5" s="48"/>
      <c r="D5" s="48"/>
      <c r="E5" s="48"/>
      <c r="F5" s="48"/>
      <c r="G5" s="48"/>
      <c r="H5" s="48"/>
      <c r="I5" s="48"/>
      <c r="J5" s="48"/>
      <c r="K5" s="48"/>
      <c r="M5" s="46" t="s">
        <v>75</v>
      </c>
      <c r="N5" s="47"/>
      <c r="O5" s="47"/>
      <c r="P5" s="47">
        <f t="shared" si="0"/>
        <v>113.11475409836065</v>
      </c>
      <c r="Q5" s="47"/>
      <c r="R5" s="47"/>
      <c r="S5" s="47"/>
      <c r="T5" s="47"/>
      <c r="U5" s="47"/>
      <c r="V5" s="47"/>
      <c r="W5" s="47"/>
    </row>
    <row r="6" spans="1:23" ht="11.85" customHeight="1" x14ac:dyDescent="0.3">
      <c r="A6" s="49" t="s">
        <v>76</v>
      </c>
      <c r="B6" s="49"/>
      <c r="C6" s="49"/>
      <c r="D6" s="49"/>
      <c r="E6" s="49"/>
      <c r="F6" s="49"/>
      <c r="G6" s="49"/>
      <c r="H6" s="49"/>
      <c r="I6" s="49"/>
      <c r="J6" s="49"/>
      <c r="K6" s="49"/>
      <c r="M6" s="46" t="s">
        <v>77</v>
      </c>
      <c r="N6" s="47"/>
      <c r="O6" s="47"/>
      <c r="P6" s="47">
        <f t="shared" si="0"/>
        <v>113.26878644515348</v>
      </c>
      <c r="Q6" s="47"/>
      <c r="R6" s="47"/>
      <c r="S6" s="47"/>
      <c r="T6" s="47"/>
      <c r="U6" s="47"/>
      <c r="V6" s="47"/>
      <c r="W6" s="47"/>
    </row>
    <row r="7" spans="1:23" ht="11.25" customHeight="1" x14ac:dyDescent="0.3">
      <c r="A7" s="49" t="s">
        <v>78</v>
      </c>
      <c r="B7" s="49">
        <v>2000</v>
      </c>
      <c r="C7" s="49">
        <v>2500</v>
      </c>
      <c r="D7" s="49">
        <v>3600</v>
      </c>
      <c r="E7" s="49">
        <v>3500</v>
      </c>
      <c r="F7" s="49">
        <v>4000</v>
      </c>
      <c r="G7" s="49">
        <v>4200</v>
      </c>
      <c r="H7" s="49">
        <v>5000</v>
      </c>
      <c r="I7" s="49">
        <v>6000</v>
      </c>
      <c r="J7" s="49">
        <v>7700</v>
      </c>
      <c r="K7" s="49">
        <v>8000</v>
      </c>
      <c r="M7" s="46" t="s">
        <v>79</v>
      </c>
      <c r="N7" s="47"/>
      <c r="O7" s="47"/>
      <c r="P7" s="47">
        <f t="shared" si="0"/>
        <v>70.134813217817168</v>
      </c>
      <c r="Q7" s="47"/>
      <c r="R7" s="47"/>
      <c r="S7" s="47"/>
      <c r="T7" s="47"/>
      <c r="U7" s="47"/>
      <c r="V7" s="47"/>
      <c r="W7" s="47"/>
    </row>
    <row r="8" spans="1:23" ht="12.45" customHeight="1" x14ac:dyDescent="0.3">
      <c r="A8" s="49" t="s">
        <v>80</v>
      </c>
      <c r="B8" s="49">
        <v>1000</v>
      </c>
      <c r="C8" s="49">
        <v>1100</v>
      </c>
      <c r="D8" s="49">
        <v>1800</v>
      </c>
      <c r="E8" s="49">
        <v>1500</v>
      </c>
      <c r="F8" s="49">
        <v>2500</v>
      </c>
      <c r="G8" s="49">
        <v>3000</v>
      </c>
      <c r="H8" s="49">
        <v>3400</v>
      </c>
      <c r="I8" s="49">
        <v>4100</v>
      </c>
      <c r="J8" s="49">
        <v>4800</v>
      </c>
      <c r="K8" s="49">
        <v>5300</v>
      </c>
      <c r="M8" s="50" t="s">
        <v>81</v>
      </c>
      <c r="N8" s="47"/>
      <c r="O8" s="47"/>
      <c r="P8" s="47"/>
      <c r="Q8" s="47"/>
      <c r="R8" s="47"/>
      <c r="S8" s="47"/>
      <c r="T8" s="47"/>
      <c r="U8" s="47"/>
      <c r="V8" s="47"/>
      <c r="W8" s="47"/>
    </row>
    <row r="9" spans="1:23" ht="11.85" customHeight="1" x14ac:dyDescent="0.3">
      <c r="A9" s="49" t="s">
        <v>82</v>
      </c>
      <c r="B9" s="49">
        <v>6400</v>
      </c>
      <c r="C9" s="49">
        <v>5000</v>
      </c>
      <c r="D9" s="49">
        <v>4800</v>
      </c>
      <c r="E9" s="49">
        <v>4600</v>
      </c>
      <c r="F9" s="49">
        <v>4200</v>
      </c>
      <c r="G9" s="49">
        <v>5100</v>
      </c>
      <c r="H9" s="49">
        <v>5000</v>
      </c>
      <c r="I9" s="49">
        <v>3600</v>
      </c>
      <c r="J9" s="49">
        <v>3900</v>
      </c>
      <c r="K9" s="49">
        <v>4000</v>
      </c>
      <c r="M9" s="46" t="s">
        <v>83</v>
      </c>
      <c r="N9" s="47"/>
      <c r="O9" s="47"/>
      <c r="P9" s="47">
        <f>(D7*D11+D8*D12+D9*D13)/(D18*1000)</f>
        <v>0.71963190184049075</v>
      </c>
      <c r="Q9" s="47"/>
      <c r="R9" s="47"/>
      <c r="S9" s="47"/>
      <c r="T9" s="47"/>
      <c r="U9" s="47"/>
      <c r="V9" s="47"/>
      <c r="W9" s="47"/>
    </row>
    <row r="10" spans="1:23" ht="11.25" customHeight="1" x14ac:dyDescent="0.3">
      <c r="A10" s="49" t="s">
        <v>84</v>
      </c>
      <c r="B10" s="49"/>
      <c r="C10" s="49"/>
      <c r="D10" s="49"/>
      <c r="E10" s="49"/>
      <c r="F10" s="49"/>
      <c r="G10" s="49"/>
      <c r="H10" s="49"/>
      <c r="I10" s="49"/>
      <c r="J10" s="49"/>
      <c r="K10" s="49"/>
      <c r="M10" s="46" t="s">
        <v>85</v>
      </c>
      <c r="N10" s="47"/>
      <c r="O10" s="47"/>
      <c r="P10" s="47">
        <f>(D18*1000)/(D7*D11+D8*D12+D9*D13)</f>
        <v>1.3895993179880648</v>
      </c>
      <c r="Q10" s="47"/>
      <c r="R10" s="47"/>
      <c r="S10" s="47"/>
      <c r="T10" s="47"/>
      <c r="U10" s="47"/>
      <c r="V10" s="47"/>
      <c r="W10" s="47"/>
    </row>
    <row r="11" spans="1:23" ht="10.8" customHeight="1" x14ac:dyDescent="0.3">
      <c r="A11" s="49" t="s">
        <v>78</v>
      </c>
      <c r="B11" s="49">
        <v>300</v>
      </c>
      <c r="C11" s="49">
        <v>200</v>
      </c>
      <c r="D11" s="49">
        <v>150</v>
      </c>
      <c r="E11" s="49">
        <v>180</v>
      </c>
      <c r="F11" s="49">
        <v>220</v>
      </c>
      <c r="G11" s="49">
        <v>350</v>
      </c>
      <c r="H11" s="49">
        <v>400</v>
      </c>
      <c r="I11" s="49">
        <v>370</v>
      </c>
      <c r="J11" s="49">
        <v>460</v>
      </c>
      <c r="K11" s="49">
        <v>520</v>
      </c>
      <c r="M11" s="46" t="s">
        <v>86</v>
      </c>
      <c r="N11" s="47"/>
      <c r="O11" s="47"/>
      <c r="P11" s="47">
        <f>(D18*1000)/D20</f>
        <v>217.33333333333334</v>
      </c>
      <c r="Q11" s="47"/>
      <c r="R11" s="47"/>
      <c r="S11" s="47"/>
      <c r="T11" s="47"/>
      <c r="U11" s="47"/>
      <c r="V11" s="47"/>
      <c r="W11" s="47"/>
    </row>
    <row r="12" spans="1:23" ht="12.45" customHeight="1" x14ac:dyDescent="0.3">
      <c r="A12" s="49" t="s">
        <v>80</v>
      </c>
      <c r="B12" s="49">
        <v>120</v>
      </c>
      <c r="C12" s="49">
        <v>110</v>
      </c>
      <c r="D12" s="49">
        <v>85</v>
      </c>
      <c r="E12" s="49">
        <v>140</v>
      </c>
      <c r="F12" s="49">
        <v>160</v>
      </c>
      <c r="G12" s="49">
        <v>170</v>
      </c>
      <c r="H12" s="49">
        <v>235</v>
      </c>
      <c r="I12" s="49">
        <v>270</v>
      </c>
      <c r="J12" s="49">
        <v>300</v>
      </c>
      <c r="K12" s="49">
        <v>190</v>
      </c>
      <c r="M12" s="46" t="s">
        <v>87</v>
      </c>
      <c r="N12" s="47"/>
      <c r="O12" s="47"/>
      <c r="P12" s="47">
        <f>(D18-D19)*1000/D20</f>
        <v>198.66666666666666</v>
      </c>
      <c r="Q12" s="47"/>
      <c r="R12" s="47"/>
      <c r="S12" s="47"/>
      <c r="T12" s="47"/>
      <c r="U12" s="47"/>
      <c r="V12" s="47"/>
      <c r="W12" s="47"/>
    </row>
    <row r="13" spans="1:23" ht="11.85" customHeight="1" x14ac:dyDescent="0.3">
      <c r="A13" s="49" t="s">
        <v>82</v>
      </c>
      <c r="B13" s="49">
        <v>270</v>
      </c>
      <c r="C13" s="49">
        <v>460</v>
      </c>
      <c r="D13" s="49">
        <v>100</v>
      </c>
      <c r="E13" s="49">
        <v>360</v>
      </c>
      <c r="F13" s="49">
        <v>450</v>
      </c>
      <c r="G13" s="49">
        <v>200</v>
      </c>
      <c r="H13" s="49">
        <v>90</v>
      </c>
      <c r="I13" s="49">
        <v>140</v>
      </c>
      <c r="J13" s="49">
        <v>230</v>
      </c>
      <c r="K13" s="49">
        <v>200</v>
      </c>
      <c r="M13" s="46" t="s">
        <v>88</v>
      </c>
      <c r="N13" s="47"/>
      <c r="O13" s="47"/>
      <c r="P13" s="47">
        <f>((D11-D15)*D7+(D12-D16)*D8+(D13-D17)*D9)/(D18*1000)*100</f>
        <v>22.269938650306749</v>
      </c>
      <c r="Q13" s="47"/>
      <c r="R13" s="47"/>
      <c r="S13" s="47"/>
      <c r="T13" s="47"/>
      <c r="U13" s="47"/>
      <c r="V13" s="47"/>
      <c r="W13" s="47"/>
    </row>
    <row r="14" spans="1:23" ht="10.199999999999999" customHeight="1" x14ac:dyDescent="0.3">
      <c r="A14" s="49" t="s">
        <v>89</v>
      </c>
      <c r="B14" s="49"/>
      <c r="C14" s="49"/>
      <c r="D14" s="49"/>
      <c r="E14" s="49"/>
      <c r="F14" s="49"/>
      <c r="G14" s="49"/>
      <c r="H14" s="49"/>
      <c r="I14" s="49"/>
      <c r="J14" s="49"/>
      <c r="K14" s="49"/>
      <c r="M14" s="50" t="s">
        <v>90</v>
      </c>
      <c r="N14" s="47"/>
      <c r="O14" s="47"/>
      <c r="P14" s="47"/>
      <c r="Q14" s="47"/>
      <c r="R14" s="47"/>
      <c r="S14" s="47"/>
      <c r="T14" s="47"/>
      <c r="U14" s="47"/>
      <c r="V14" s="47"/>
      <c r="W14" s="47"/>
    </row>
    <row r="15" spans="1:23" ht="13.05" customHeight="1" x14ac:dyDescent="0.3">
      <c r="A15" s="49" t="s">
        <v>78</v>
      </c>
      <c r="B15" s="49">
        <v>200</v>
      </c>
      <c r="C15" s="49">
        <v>110</v>
      </c>
      <c r="D15" s="49">
        <v>100</v>
      </c>
      <c r="E15" s="49">
        <v>100</v>
      </c>
      <c r="F15" s="49">
        <v>150</v>
      </c>
      <c r="G15" s="49">
        <v>280</v>
      </c>
      <c r="H15" s="49">
        <v>300</v>
      </c>
      <c r="I15" s="49">
        <v>190</v>
      </c>
      <c r="J15" s="49">
        <v>320</v>
      </c>
      <c r="K15" s="49">
        <v>450</v>
      </c>
      <c r="M15" s="46" t="s">
        <v>83</v>
      </c>
      <c r="N15" s="47"/>
      <c r="O15" s="47"/>
      <c r="P15" s="47">
        <f>(D23*D27+D24*D28+D25*D29)/(D18*1000*D34/100+D18*1000)</f>
        <v>0.63779970955217691</v>
      </c>
      <c r="Q15" s="47"/>
      <c r="R15" s="47"/>
      <c r="S15" s="47"/>
      <c r="T15" s="47"/>
      <c r="U15" s="47"/>
      <c r="V15" s="47"/>
      <c r="W15" s="47"/>
    </row>
    <row r="16" spans="1:23" ht="11.85" customHeight="1" x14ac:dyDescent="0.3">
      <c r="A16" s="49" t="s">
        <v>80</v>
      </c>
      <c r="B16" s="49">
        <v>80</v>
      </c>
      <c r="C16" s="49">
        <v>60</v>
      </c>
      <c r="D16" s="49">
        <v>50</v>
      </c>
      <c r="E16" s="49">
        <v>95</v>
      </c>
      <c r="F16" s="49">
        <v>120</v>
      </c>
      <c r="G16" s="49">
        <v>110</v>
      </c>
      <c r="H16" s="49">
        <v>170</v>
      </c>
      <c r="I16" s="49">
        <v>210</v>
      </c>
      <c r="J16" s="49">
        <v>205</v>
      </c>
      <c r="K16" s="49">
        <v>140</v>
      </c>
      <c r="M16" s="46" t="s">
        <v>85</v>
      </c>
      <c r="N16" s="47"/>
      <c r="O16" s="47"/>
      <c r="P16" s="47">
        <f>1/P15</f>
        <v>1.5678903345724906</v>
      </c>
      <c r="Q16" s="47"/>
      <c r="R16" s="47"/>
      <c r="S16" s="47"/>
      <c r="T16" s="47"/>
      <c r="U16" s="47"/>
      <c r="V16" s="47"/>
      <c r="W16" s="47"/>
    </row>
    <row r="17" spans="1:23" ht="13.05" customHeight="1" x14ac:dyDescent="0.3">
      <c r="A17" s="49" t="s">
        <v>82</v>
      </c>
      <c r="B17" s="49">
        <v>185</v>
      </c>
      <c r="C17" s="49">
        <v>390</v>
      </c>
      <c r="D17" s="49">
        <v>75</v>
      </c>
      <c r="E17" s="49">
        <v>300</v>
      </c>
      <c r="F17" s="49">
        <v>410</v>
      </c>
      <c r="G17" s="49">
        <v>160</v>
      </c>
      <c r="H17" s="49">
        <v>55</v>
      </c>
      <c r="I17" s="49">
        <v>100</v>
      </c>
      <c r="J17" s="49">
        <v>170</v>
      </c>
      <c r="K17" s="49">
        <v>165</v>
      </c>
      <c r="M17" s="46" t="s">
        <v>86</v>
      </c>
      <c r="N17" s="47"/>
      <c r="O17" s="47"/>
      <c r="P17" s="47">
        <f>(D18*1000*D34/100+D18*1000)/(D20-D20*D36/100)</f>
        <v>245.8360655737705</v>
      </c>
      <c r="Q17" s="47"/>
      <c r="R17" s="47"/>
      <c r="S17" s="47"/>
      <c r="T17" s="47"/>
      <c r="U17" s="47"/>
      <c r="V17" s="47"/>
      <c r="W17" s="47"/>
    </row>
    <row r="18" spans="1:23" ht="11.85" customHeight="1" x14ac:dyDescent="0.3">
      <c r="A18" s="49" t="s">
        <v>91</v>
      </c>
      <c r="B18" s="49">
        <v>1550</v>
      </c>
      <c r="C18" s="49">
        <v>1420</v>
      </c>
      <c r="D18" s="49">
        <v>1630</v>
      </c>
      <c r="E18" s="49">
        <v>1510</v>
      </c>
      <c r="F18" s="49">
        <v>1620</v>
      </c>
      <c r="G18" s="49">
        <v>1480</v>
      </c>
      <c r="H18" s="49">
        <v>1390</v>
      </c>
      <c r="I18" s="49">
        <v>1460</v>
      </c>
      <c r="J18" s="49">
        <v>1600</v>
      </c>
      <c r="K18" s="49">
        <v>1570</v>
      </c>
      <c r="M18" s="46" t="s">
        <v>87</v>
      </c>
      <c r="N18" s="47"/>
      <c r="O18" s="47"/>
      <c r="P18" s="47">
        <f>((D18*1000*D34/100+D18*1000)-(D19*1000*D35/100+D19*1000))/(D20-D20*D36/100)</f>
        <v>225.02732240437157</v>
      </c>
      <c r="Q18" s="47"/>
      <c r="R18" s="47"/>
      <c r="S18" s="47"/>
      <c r="T18" s="47"/>
      <c r="U18" s="47"/>
      <c r="V18" s="47"/>
      <c r="W18" s="47"/>
    </row>
    <row r="19" spans="1:23" ht="11.85" customHeight="1" x14ac:dyDescent="0.3">
      <c r="A19" s="49" t="s">
        <v>92</v>
      </c>
      <c r="B19" s="49">
        <v>120</v>
      </c>
      <c r="C19" s="49">
        <v>130</v>
      </c>
      <c r="D19" s="49">
        <v>140</v>
      </c>
      <c r="E19" s="49">
        <v>100</v>
      </c>
      <c r="F19" s="49">
        <v>130</v>
      </c>
      <c r="G19" s="49">
        <v>120</v>
      </c>
      <c r="H19" s="49">
        <v>140</v>
      </c>
      <c r="I19" s="49">
        <v>90</v>
      </c>
      <c r="J19" s="49">
        <v>120</v>
      </c>
      <c r="K19" s="49">
        <v>130</v>
      </c>
      <c r="M19" s="46" t="s">
        <v>88</v>
      </c>
      <c r="N19" s="47"/>
      <c r="O19" s="47"/>
      <c r="P19" s="47">
        <f>((D27-D31)*D23+(D28-D32)*D24+(D29-D33)*D25)/(D18*1000*D34/100+D18*1000)*100</f>
        <v>15.618979876115112</v>
      </c>
      <c r="Q19" s="47"/>
      <c r="R19" s="47"/>
      <c r="S19" s="47"/>
      <c r="T19" s="47"/>
      <c r="U19" s="47"/>
      <c r="V19" s="47"/>
      <c r="W19" s="47"/>
    </row>
    <row r="20" spans="1:23" ht="11.25" customHeight="1" x14ac:dyDescent="0.3">
      <c r="A20" s="49" t="s">
        <v>93</v>
      </c>
      <c r="B20" s="49">
        <v>4430</v>
      </c>
      <c r="C20" s="49">
        <v>6520</v>
      </c>
      <c r="D20" s="49">
        <v>7500</v>
      </c>
      <c r="E20" s="49">
        <v>2130</v>
      </c>
      <c r="F20" s="49">
        <v>5555</v>
      </c>
      <c r="G20" s="49">
        <v>6520</v>
      </c>
      <c r="H20" s="49">
        <v>4800</v>
      </c>
      <c r="I20" s="49">
        <v>3640</v>
      </c>
      <c r="J20" s="49">
        <v>4750</v>
      </c>
      <c r="K20" s="49">
        <v>6900</v>
      </c>
      <c r="N20" s="51"/>
      <c r="O20" s="51"/>
      <c r="P20" s="51"/>
      <c r="Q20" s="51"/>
      <c r="R20" s="51"/>
      <c r="S20" s="51"/>
      <c r="T20" s="51"/>
      <c r="U20" s="51"/>
      <c r="V20" s="51"/>
      <c r="W20" s="51"/>
    </row>
    <row r="21" spans="1:23" ht="10.8" customHeight="1" x14ac:dyDescent="0.3">
      <c r="A21" s="48" t="s">
        <v>94</v>
      </c>
      <c r="B21" s="48"/>
      <c r="C21" s="48"/>
      <c r="D21" s="48"/>
      <c r="E21" s="48"/>
      <c r="F21" s="48"/>
      <c r="G21" s="48"/>
      <c r="H21" s="48"/>
      <c r="I21" s="48"/>
      <c r="J21" s="48"/>
      <c r="K21" s="48"/>
    </row>
    <row r="22" spans="1:23" ht="13.5" customHeight="1" x14ac:dyDescent="0.3">
      <c r="A22" s="49" t="s">
        <v>76</v>
      </c>
      <c r="B22" s="49"/>
      <c r="C22" s="49"/>
      <c r="D22" s="49"/>
      <c r="E22" s="49"/>
      <c r="F22" s="49"/>
      <c r="G22" s="49"/>
      <c r="H22" s="49"/>
      <c r="I22" s="49"/>
      <c r="J22" s="49"/>
      <c r="K22" s="49"/>
    </row>
    <row r="23" spans="1:23" ht="13.05" customHeight="1" x14ac:dyDescent="0.3">
      <c r="A23" s="49" t="s">
        <v>78</v>
      </c>
      <c r="B23" s="49">
        <v>2020</v>
      </c>
      <c r="C23" s="49">
        <v>2600</v>
      </c>
      <c r="D23" s="49">
        <v>3100</v>
      </c>
      <c r="E23" s="49">
        <v>3600</v>
      </c>
      <c r="F23" s="49">
        <v>4200</v>
      </c>
      <c r="G23" s="49">
        <v>4000</v>
      </c>
      <c r="H23" s="49">
        <v>5500</v>
      </c>
      <c r="I23" s="49">
        <v>5500</v>
      </c>
      <c r="J23" s="49">
        <v>7800</v>
      </c>
      <c r="K23" s="49">
        <v>8100</v>
      </c>
    </row>
    <row r="24" spans="1:23" ht="9.75" customHeight="1" x14ac:dyDescent="0.3">
      <c r="A24" s="49" t="s">
        <v>80</v>
      </c>
      <c r="B24" s="49">
        <v>1050</v>
      </c>
      <c r="C24" s="49">
        <v>1200</v>
      </c>
      <c r="D24" s="49">
        <v>1300</v>
      </c>
      <c r="E24" s="49">
        <v>1650</v>
      </c>
      <c r="F24" s="49">
        <v>2600</v>
      </c>
      <c r="G24" s="49">
        <v>3100</v>
      </c>
      <c r="H24" s="49">
        <v>3500</v>
      </c>
      <c r="I24" s="49">
        <v>4150</v>
      </c>
      <c r="J24" s="49">
        <v>4900</v>
      </c>
      <c r="K24" s="49">
        <v>5500</v>
      </c>
    </row>
    <row r="25" spans="1:23" ht="10.8" customHeight="1" x14ac:dyDescent="0.3">
      <c r="A25" s="49" t="s">
        <v>82</v>
      </c>
      <c r="B25" s="49">
        <v>6500</v>
      </c>
      <c r="C25" s="49">
        <v>5200</v>
      </c>
      <c r="D25" s="49">
        <v>5000</v>
      </c>
      <c r="E25" s="49">
        <v>4700</v>
      </c>
      <c r="F25" s="49">
        <v>4300</v>
      </c>
      <c r="G25" s="49">
        <v>5200</v>
      </c>
      <c r="H25" s="49">
        <v>5100</v>
      </c>
      <c r="I25" s="49">
        <v>3700</v>
      </c>
      <c r="J25" s="49">
        <v>4000</v>
      </c>
      <c r="K25" s="49">
        <v>4300</v>
      </c>
    </row>
    <row r="26" spans="1:23" ht="10.8" customHeight="1" x14ac:dyDescent="0.3">
      <c r="A26" s="49" t="s">
        <v>84</v>
      </c>
      <c r="B26" s="49"/>
      <c r="C26" s="49"/>
      <c r="D26" s="49"/>
      <c r="E26" s="49"/>
      <c r="F26" s="49"/>
      <c r="G26" s="49"/>
      <c r="H26" s="49"/>
      <c r="I26" s="49"/>
      <c r="J26" s="49"/>
      <c r="K26" s="49"/>
    </row>
    <row r="27" spans="1:23" ht="10.8" customHeight="1" x14ac:dyDescent="0.3">
      <c r="A27" s="49" t="s">
        <v>78</v>
      </c>
      <c r="B27" s="49">
        <v>300</v>
      </c>
      <c r="C27" s="49">
        <v>210</v>
      </c>
      <c r="D27" s="49">
        <v>160</v>
      </c>
      <c r="E27" s="49">
        <v>185</v>
      </c>
      <c r="F27" s="49">
        <v>230</v>
      </c>
      <c r="G27" s="49">
        <v>360</v>
      </c>
      <c r="H27" s="49">
        <v>390</v>
      </c>
      <c r="I27" s="49">
        <v>360</v>
      </c>
      <c r="J27" s="49">
        <v>450</v>
      </c>
      <c r="K27" s="49">
        <v>500</v>
      </c>
    </row>
    <row r="28" spans="1:23" ht="10.8" customHeight="1" x14ac:dyDescent="0.3">
      <c r="A28" s="49" t="s">
        <v>80</v>
      </c>
      <c r="B28" s="49">
        <v>110</v>
      </c>
      <c r="C28" s="49">
        <v>100</v>
      </c>
      <c r="D28" s="49">
        <v>100</v>
      </c>
      <c r="E28" s="49">
        <v>150</v>
      </c>
      <c r="F28" s="49">
        <v>170</v>
      </c>
      <c r="G28" s="49">
        <v>160</v>
      </c>
      <c r="H28" s="49">
        <v>230</v>
      </c>
      <c r="I28" s="49">
        <v>260</v>
      </c>
      <c r="J28" s="49">
        <v>310</v>
      </c>
      <c r="K28" s="49">
        <v>200</v>
      </c>
    </row>
    <row r="29" spans="1:23" ht="10.8" customHeight="1" x14ac:dyDescent="0.3">
      <c r="A29" s="49" t="s">
        <v>82</v>
      </c>
      <c r="B29" s="49">
        <v>260</v>
      </c>
      <c r="C29" s="49">
        <v>450</v>
      </c>
      <c r="D29" s="49">
        <v>90</v>
      </c>
      <c r="E29" s="49">
        <v>350</v>
      </c>
      <c r="F29" s="49">
        <v>440</v>
      </c>
      <c r="G29" s="49">
        <v>190</v>
      </c>
      <c r="H29" s="49">
        <v>100</v>
      </c>
      <c r="I29" s="49">
        <v>130</v>
      </c>
      <c r="J29" s="49">
        <v>220</v>
      </c>
      <c r="K29" s="49">
        <v>190</v>
      </c>
    </row>
    <row r="30" spans="1:23" ht="12.45" customHeight="1" x14ac:dyDescent="0.3">
      <c r="A30" s="49" t="s">
        <v>89</v>
      </c>
      <c r="B30" s="49"/>
      <c r="C30" s="49"/>
      <c r="D30" s="49"/>
      <c r="E30" s="49"/>
      <c r="F30" s="49"/>
      <c r="G30" s="49"/>
      <c r="H30" s="49"/>
      <c r="I30" s="49"/>
      <c r="J30" s="49"/>
      <c r="K30" s="49"/>
    </row>
    <row r="31" spans="1:23" ht="10.8" customHeight="1" x14ac:dyDescent="0.3">
      <c r="A31" s="49" t="s">
        <v>78</v>
      </c>
      <c r="B31" s="49">
        <v>190</v>
      </c>
      <c r="C31" s="49">
        <v>100</v>
      </c>
      <c r="D31" s="49">
        <v>150</v>
      </c>
      <c r="E31" s="49">
        <v>140</v>
      </c>
      <c r="F31" s="49">
        <v>200</v>
      </c>
      <c r="G31" s="49">
        <v>300</v>
      </c>
      <c r="H31" s="49">
        <v>300</v>
      </c>
      <c r="I31" s="49">
        <v>280</v>
      </c>
      <c r="J31" s="49">
        <v>380</v>
      </c>
      <c r="K31" s="49">
        <v>400</v>
      </c>
    </row>
    <row r="32" spans="1:23" ht="10.8" customHeight="1" x14ac:dyDescent="0.3">
      <c r="A32" s="49" t="s">
        <v>80</v>
      </c>
      <c r="B32" s="49">
        <v>90</v>
      </c>
      <c r="C32" s="49">
        <v>80</v>
      </c>
      <c r="D32" s="49">
        <v>75</v>
      </c>
      <c r="E32" s="49">
        <v>100</v>
      </c>
      <c r="F32" s="49">
        <v>100</v>
      </c>
      <c r="G32" s="49">
        <v>120</v>
      </c>
      <c r="H32" s="49">
        <v>150</v>
      </c>
      <c r="I32" s="49">
        <v>205</v>
      </c>
      <c r="J32" s="49">
        <v>270</v>
      </c>
      <c r="K32" s="49">
        <v>140</v>
      </c>
    </row>
    <row r="33" spans="1:12" ht="11.25" customHeight="1" x14ac:dyDescent="0.3">
      <c r="A33" s="49" t="s">
        <v>82</v>
      </c>
      <c r="B33" s="49">
        <v>200</v>
      </c>
      <c r="C33" s="49">
        <v>350</v>
      </c>
      <c r="D33" s="49">
        <v>50</v>
      </c>
      <c r="E33" s="49">
        <v>290</v>
      </c>
      <c r="F33" s="49">
        <v>360</v>
      </c>
      <c r="G33" s="49">
        <v>145</v>
      </c>
      <c r="H33" s="49">
        <v>70</v>
      </c>
      <c r="I33" s="49">
        <v>90</v>
      </c>
      <c r="J33" s="49">
        <v>160</v>
      </c>
      <c r="K33" s="49">
        <v>155</v>
      </c>
    </row>
    <row r="34" spans="1:12" ht="11.25" customHeight="1" x14ac:dyDescent="0.3">
      <c r="A34" s="49" t="s">
        <v>95</v>
      </c>
      <c r="B34" s="49">
        <v>5</v>
      </c>
      <c r="C34" s="49">
        <v>10</v>
      </c>
      <c r="D34" s="49">
        <v>3.5</v>
      </c>
      <c r="E34" s="49">
        <v>4.5</v>
      </c>
      <c r="F34" s="49">
        <v>6</v>
      </c>
      <c r="G34" s="49">
        <v>5</v>
      </c>
      <c r="H34" s="49">
        <v>5.5</v>
      </c>
      <c r="I34" s="49">
        <v>4</v>
      </c>
      <c r="J34" s="49">
        <v>3.5</v>
      </c>
      <c r="K34" s="49">
        <v>4.5</v>
      </c>
      <c r="L34" s="52"/>
    </row>
    <row r="35" spans="1:12" ht="11.25" customHeight="1" x14ac:dyDescent="0.3">
      <c r="A35" s="49" t="s">
        <v>96</v>
      </c>
      <c r="B35" s="49">
        <v>1</v>
      </c>
      <c r="C35" s="49">
        <v>1.5</v>
      </c>
      <c r="D35" s="49">
        <v>2</v>
      </c>
      <c r="E35" s="49">
        <v>2.5</v>
      </c>
      <c r="F35" s="49">
        <v>3.5</v>
      </c>
      <c r="G35" s="49">
        <v>1</v>
      </c>
      <c r="H35" s="49">
        <v>1.5</v>
      </c>
      <c r="I35" s="49">
        <v>2</v>
      </c>
      <c r="J35" s="49">
        <v>2.5</v>
      </c>
      <c r="K35" s="49">
        <v>3</v>
      </c>
    </row>
    <row r="36" spans="1:12" ht="11.25" customHeight="1" x14ac:dyDescent="0.3">
      <c r="A36" s="49" t="s">
        <v>97</v>
      </c>
      <c r="B36" s="49">
        <v>6.5</v>
      </c>
      <c r="C36" s="49">
        <v>7</v>
      </c>
      <c r="D36" s="49">
        <v>8.5</v>
      </c>
      <c r="E36" s="49">
        <v>7</v>
      </c>
      <c r="F36" s="49">
        <v>5</v>
      </c>
      <c r="G36" s="49">
        <v>5.5</v>
      </c>
      <c r="H36" s="49">
        <v>6</v>
      </c>
      <c r="I36" s="49">
        <v>6.5</v>
      </c>
      <c r="J36" s="49">
        <v>7</v>
      </c>
      <c r="K36" s="49">
        <v>7.5</v>
      </c>
    </row>
  </sheetData>
  <mergeCells count="2">
    <mergeCell ref="A3:A4"/>
    <mergeCell ref="B3:K3"/>
  </mergeCell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4"/>
  <sheetViews>
    <sheetView workbookViewId="0">
      <selection activeCell="A9" sqref="A9"/>
    </sheetView>
  </sheetViews>
  <sheetFormatPr defaultRowHeight="14.4" x14ac:dyDescent="0.3"/>
  <cols>
    <col min="1" max="1" width="105.5546875" customWidth="1"/>
    <col min="3" max="3" width="13.5546875" customWidth="1"/>
  </cols>
  <sheetData>
    <row r="1" spans="1:3" ht="15.6" x14ac:dyDescent="0.3">
      <c r="A1" s="37" t="s">
        <v>129</v>
      </c>
    </row>
    <row r="2" spans="1:3" ht="31.2" x14ac:dyDescent="0.3">
      <c r="A2" s="2" t="s">
        <v>130</v>
      </c>
    </row>
    <row r="3" spans="1:3" ht="18" x14ac:dyDescent="0.3">
      <c r="A3" s="58" t="s">
        <v>131</v>
      </c>
      <c r="B3" s="59"/>
      <c r="C3" s="59"/>
    </row>
    <row r="4" spans="1:3" ht="18" x14ac:dyDescent="0.3">
      <c r="A4" s="58" t="s">
        <v>132</v>
      </c>
      <c r="C4" s="59"/>
    </row>
    <row r="5" spans="1:3" ht="46.8" x14ac:dyDescent="0.3">
      <c r="A5" s="60" t="s">
        <v>133</v>
      </c>
      <c r="C5" s="59"/>
    </row>
    <row r="6" spans="1:3" ht="15.6" x14ac:dyDescent="0.3">
      <c r="A6" s="6" t="s">
        <v>134</v>
      </c>
    </row>
    <row r="8" spans="1:3" ht="15.6" x14ac:dyDescent="0.3">
      <c r="A8" s="37" t="s">
        <v>135</v>
      </c>
    </row>
    <row r="9" spans="1:3" ht="15.6" x14ac:dyDescent="0.3">
      <c r="A9" s="2" t="s">
        <v>136</v>
      </c>
    </row>
    <row r="10" spans="1:3" ht="18" x14ac:dyDescent="0.3">
      <c r="A10" s="58" t="s">
        <v>132</v>
      </c>
    </row>
    <row r="11" spans="1:3" ht="31.2" x14ac:dyDescent="0.3">
      <c r="A11" s="6" t="s">
        <v>137</v>
      </c>
    </row>
    <row r="12" spans="1:3" ht="18" x14ac:dyDescent="0.3">
      <c r="A12" s="58" t="s">
        <v>131</v>
      </c>
    </row>
    <row r="13" spans="1:3" ht="18" x14ac:dyDescent="0.3">
      <c r="A13" s="58" t="s">
        <v>132</v>
      </c>
    </row>
    <row r="14" spans="1:3" ht="15.6" x14ac:dyDescent="0.3">
      <c r="A14" s="5" t="s">
        <v>138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4"/>
  <sheetViews>
    <sheetView zoomScale="81" workbookViewId="0">
      <selection activeCell="D24" sqref="D24"/>
    </sheetView>
  </sheetViews>
  <sheetFormatPr defaultRowHeight="14.4" x14ac:dyDescent="0.3"/>
  <cols>
    <col min="1" max="1" width="44.6640625" customWidth="1"/>
  </cols>
  <sheetData>
    <row r="1" spans="1:11" ht="18" x14ac:dyDescent="0.35">
      <c r="A1" s="53" t="s">
        <v>113</v>
      </c>
    </row>
    <row r="2" spans="1:11" ht="15.6" x14ac:dyDescent="0.3">
      <c r="A2" s="25" t="s">
        <v>114</v>
      </c>
      <c r="B2" s="28"/>
      <c r="C2" s="28"/>
      <c r="D2" s="28"/>
      <c r="E2" s="28"/>
      <c r="F2" s="28"/>
      <c r="G2" s="28"/>
      <c r="H2" s="28"/>
      <c r="I2" s="28"/>
      <c r="J2" s="28"/>
      <c r="K2" s="28"/>
    </row>
    <row r="3" spans="1:11" x14ac:dyDescent="0.3">
      <c r="A3" s="65" t="s">
        <v>49</v>
      </c>
      <c r="B3" s="66" t="s">
        <v>50</v>
      </c>
      <c r="C3" s="66"/>
      <c r="D3" s="66"/>
      <c r="E3" s="66"/>
      <c r="F3" s="66"/>
      <c r="G3" s="66"/>
      <c r="H3" s="66"/>
      <c r="I3" s="66"/>
      <c r="J3" s="66"/>
      <c r="K3" s="66"/>
    </row>
    <row r="4" spans="1:11" x14ac:dyDescent="0.3">
      <c r="A4" s="65"/>
      <c r="B4" s="29">
        <v>1</v>
      </c>
      <c r="C4" s="29">
        <v>2</v>
      </c>
      <c r="D4" s="29">
        <v>3</v>
      </c>
      <c r="E4" s="29">
        <v>4</v>
      </c>
      <c r="F4" s="29">
        <v>5</v>
      </c>
      <c r="G4" s="29">
        <v>6</v>
      </c>
      <c r="H4" s="29">
        <v>7</v>
      </c>
      <c r="I4" s="29">
        <v>8</v>
      </c>
      <c r="J4" s="29">
        <v>9</v>
      </c>
      <c r="K4" s="29">
        <v>10</v>
      </c>
    </row>
    <row r="5" spans="1:11" x14ac:dyDescent="0.3">
      <c r="A5" s="11" t="s">
        <v>115</v>
      </c>
      <c r="B5" s="13">
        <v>100</v>
      </c>
      <c r="C5" s="13">
        <v>66</v>
      </c>
      <c r="D5" s="13">
        <v>1020</v>
      </c>
      <c r="E5" s="13">
        <v>470</v>
      </c>
      <c r="F5" s="13">
        <v>215</v>
      </c>
      <c r="G5" s="13">
        <v>800</v>
      </c>
      <c r="H5" s="13">
        <v>170</v>
      </c>
      <c r="I5" s="13">
        <v>1200</v>
      </c>
      <c r="J5" s="13">
        <v>530</v>
      </c>
      <c r="K5" s="13">
        <v>385</v>
      </c>
    </row>
    <row r="6" spans="1:11" x14ac:dyDescent="0.3">
      <c r="A6" s="11" t="s">
        <v>116</v>
      </c>
      <c r="B6" s="13">
        <v>85</v>
      </c>
      <c r="C6" s="13">
        <v>40</v>
      </c>
      <c r="D6" s="13">
        <v>55</v>
      </c>
      <c r="E6" s="13">
        <v>96</v>
      </c>
      <c r="F6" s="13">
        <v>32</v>
      </c>
      <c r="G6" s="13">
        <v>110</v>
      </c>
      <c r="H6" s="13">
        <v>30</v>
      </c>
      <c r="I6" s="13">
        <v>47</v>
      </c>
      <c r="J6" s="13">
        <v>65</v>
      </c>
      <c r="K6" s="13">
        <v>26</v>
      </c>
    </row>
    <row r="7" spans="1:11" x14ac:dyDescent="0.3">
      <c r="A7" s="11" t="s">
        <v>117</v>
      </c>
      <c r="B7" s="13">
        <v>560</v>
      </c>
      <c r="C7" s="13">
        <v>123</v>
      </c>
      <c r="D7" s="13">
        <v>49</v>
      </c>
      <c r="E7" s="13">
        <v>90</v>
      </c>
      <c r="F7" s="13">
        <v>25</v>
      </c>
      <c r="G7" s="13">
        <v>104</v>
      </c>
      <c r="H7" s="13">
        <v>22</v>
      </c>
      <c r="I7" s="13">
        <v>33</v>
      </c>
      <c r="J7" s="13">
        <v>58</v>
      </c>
      <c r="K7" s="13">
        <v>20</v>
      </c>
    </row>
    <row r="8" spans="1:11" x14ac:dyDescent="0.3">
      <c r="A8" s="11" t="s">
        <v>118</v>
      </c>
      <c r="B8" s="13">
        <v>360</v>
      </c>
      <c r="C8" s="13">
        <v>180</v>
      </c>
      <c r="D8" s="13">
        <v>90</v>
      </c>
      <c r="E8" s="13">
        <v>360</v>
      </c>
      <c r="F8" s="13">
        <v>180</v>
      </c>
      <c r="G8" s="13">
        <v>90</v>
      </c>
      <c r="H8" s="13">
        <v>30</v>
      </c>
      <c r="I8" s="13">
        <v>360</v>
      </c>
      <c r="J8" s="13">
        <v>180</v>
      </c>
      <c r="K8" s="13">
        <v>90</v>
      </c>
    </row>
    <row r="9" spans="1:11" x14ac:dyDescent="0.3">
      <c r="A9" s="32" t="s">
        <v>119</v>
      </c>
      <c r="B9" s="36"/>
      <c r="C9" s="36"/>
      <c r="D9" s="36">
        <f>($D$8*$D$7)/D5</f>
        <v>4.3235294117647056</v>
      </c>
      <c r="E9" s="36"/>
      <c r="F9" s="36"/>
      <c r="G9" s="36"/>
      <c r="H9" s="36"/>
      <c r="I9" s="36"/>
      <c r="J9" s="36"/>
      <c r="K9" s="36"/>
    </row>
    <row r="10" spans="1:11" x14ac:dyDescent="0.3">
      <c r="A10" s="32" t="s">
        <v>120</v>
      </c>
      <c r="B10" s="36"/>
      <c r="C10" s="36"/>
      <c r="D10" s="36">
        <f>($D$8*$D$7)/D6</f>
        <v>80.181818181818187</v>
      </c>
      <c r="E10" s="36"/>
      <c r="F10" s="36"/>
      <c r="G10" s="36"/>
      <c r="H10" s="36"/>
      <c r="I10" s="36"/>
      <c r="J10" s="36"/>
      <c r="K10" s="36"/>
    </row>
    <row r="11" spans="1:11" x14ac:dyDescent="0.3">
      <c r="A11" s="35" t="s">
        <v>121</v>
      </c>
      <c r="B11" s="36"/>
      <c r="C11" s="36"/>
      <c r="D11" s="36">
        <f>D10-D9</f>
        <v>75.858288770053477</v>
      </c>
      <c r="E11" s="36"/>
      <c r="F11" s="36"/>
      <c r="G11" s="36"/>
      <c r="H11" s="36"/>
      <c r="I11" s="36"/>
      <c r="J11" s="36"/>
      <c r="K11" s="36"/>
    </row>
    <row r="13" spans="1:11" ht="15.6" x14ac:dyDescent="0.3">
      <c r="A13" s="25" t="s">
        <v>122</v>
      </c>
      <c r="B13" s="28"/>
      <c r="C13" s="28"/>
      <c r="D13" s="28"/>
      <c r="E13" s="28"/>
      <c r="F13" s="28"/>
      <c r="G13" s="28"/>
      <c r="H13" s="28"/>
      <c r="I13" s="28"/>
      <c r="J13" s="28"/>
      <c r="K13" s="28"/>
    </row>
    <row r="14" spans="1:11" x14ac:dyDescent="0.3">
      <c r="A14" s="65" t="s">
        <v>49</v>
      </c>
      <c r="B14" s="66" t="s">
        <v>50</v>
      </c>
      <c r="C14" s="66"/>
      <c r="D14" s="66"/>
      <c r="E14" s="66"/>
      <c r="F14" s="66"/>
      <c r="G14" s="66"/>
      <c r="H14" s="66"/>
      <c r="I14" s="66"/>
      <c r="J14" s="66"/>
      <c r="K14" s="66"/>
    </row>
    <row r="15" spans="1:11" x14ac:dyDescent="0.3">
      <c r="A15" s="65"/>
      <c r="B15" s="29">
        <v>1</v>
      </c>
      <c r="C15" s="29">
        <v>2</v>
      </c>
      <c r="D15" s="29">
        <v>3</v>
      </c>
      <c r="E15" s="29">
        <v>4</v>
      </c>
      <c r="F15" s="29">
        <v>5</v>
      </c>
      <c r="G15" s="29">
        <v>6</v>
      </c>
      <c r="H15" s="29">
        <v>7</v>
      </c>
      <c r="I15" s="29">
        <v>8</v>
      </c>
      <c r="J15" s="29">
        <v>9</v>
      </c>
      <c r="K15" s="29">
        <v>10</v>
      </c>
    </row>
    <row r="16" spans="1:11" x14ac:dyDescent="0.3">
      <c r="A16" s="11" t="s">
        <v>123</v>
      </c>
      <c r="B16" s="13">
        <v>8700</v>
      </c>
      <c r="C16" s="13">
        <v>670</v>
      </c>
      <c r="D16" s="13">
        <v>1450</v>
      </c>
      <c r="E16" s="13">
        <v>1270</v>
      </c>
      <c r="F16" s="13">
        <v>900</v>
      </c>
      <c r="G16" s="13">
        <v>1035</v>
      </c>
      <c r="H16" s="13">
        <v>5100</v>
      </c>
      <c r="I16" s="13">
        <v>6500</v>
      </c>
      <c r="J16" s="13">
        <v>3210</v>
      </c>
      <c r="K16" s="13">
        <v>5355</v>
      </c>
    </row>
    <row r="17" spans="1:11" x14ac:dyDescent="0.3">
      <c r="A17" s="11" t="s">
        <v>124</v>
      </c>
      <c r="B17" s="13">
        <v>850</v>
      </c>
      <c r="C17" s="13">
        <v>195</v>
      </c>
      <c r="D17" s="13">
        <v>290</v>
      </c>
      <c r="E17" s="13">
        <v>195</v>
      </c>
      <c r="F17" s="13">
        <v>107</v>
      </c>
      <c r="G17" s="13">
        <v>104</v>
      </c>
      <c r="H17" s="13">
        <v>660</v>
      </c>
      <c r="I17" s="13">
        <v>1190</v>
      </c>
      <c r="J17" s="13">
        <v>420</v>
      </c>
      <c r="K17" s="13">
        <v>850</v>
      </c>
    </row>
    <row r="18" spans="1:11" x14ac:dyDescent="0.3">
      <c r="A18" s="11" t="s">
        <v>118</v>
      </c>
      <c r="B18" s="13">
        <v>360</v>
      </c>
      <c r="C18" s="13">
        <v>360</v>
      </c>
      <c r="D18" s="13">
        <v>180</v>
      </c>
      <c r="E18" s="13">
        <v>180</v>
      </c>
      <c r="F18" s="13">
        <v>360</v>
      </c>
      <c r="G18" s="13">
        <v>180</v>
      </c>
      <c r="H18" s="13">
        <v>360</v>
      </c>
      <c r="I18" s="13">
        <v>180</v>
      </c>
      <c r="J18" s="13">
        <v>360</v>
      </c>
      <c r="K18" s="13">
        <v>180</v>
      </c>
    </row>
    <row r="19" spans="1:11" x14ac:dyDescent="0.3">
      <c r="A19" s="32" t="s">
        <v>125</v>
      </c>
      <c r="B19" s="36"/>
      <c r="C19" s="36"/>
      <c r="D19" s="36">
        <f>D16/D17</f>
        <v>5</v>
      </c>
      <c r="E19" s="36"/>
      <c r="F19" s="36"/>
      <c r="G19" s="36"/>
      <c r="H19" s="36"/>
      <c r="I19" s="36"/>
      <c r="J19" s="36"/>
      <c r="K19" s="36"/>
    </row>
    <row r="20" spans="1:11" x14ac:dyDescent="0.3">
      <c r="A20" s="61" t="s">
        <v>126</v>
      </c>
      <c r="B20" s="57">
        <v>12</v>
      </c>
      <c r="C20" s="57">
        <v>5</v>
      </c>
      <c r="D20" s="57">
        <v>8</v>
      </c>
      <c r="E20" s="57">
        <v>9</v>
      </c>
      <c r="F20" s="57">
        <v>12</v>
      </c>
      <c r="G20" s="57">
        <v>13</v>
      </c>
      <c r="H20" s="57">
        <v>10.5</v>
      </c>
      <c r="I20" s="57">
        <v>8.5</v>
      </c>
      <c r="J20" s="57">
        <v>9</v>
      </c>
      <c r="K20" s="57">
        <v>10.5</v>
      </c>
    </row>
    <row r="21" spans="1:11" x14ac:dyDescent="0.3">
      <c r="A21" s="32" t="s">
        <v>139</v>
      </c>
      <c r="B21" s="36"/>
      <c r="C21" s="36"/>
      <c r="D21" s="36">
        <f>$D$18/D19</f>
        <v>36</v>
      </c>
      <c r="E21" s="36"/>
      <c r="F21" s="36"/>
      <c r="G21" s="36"/>
      <c r="H21" s="36"/>
      <c r="I21" s="36"/>
      <c r="J21" s="36"/>
      <c r="K21" s="36"/>
    </row>
    <row r="22" spans="1:11" x14ac:dyDescent="0.3">
      <c r="A22" s="32" t="s">
        <v>140</v>
      </c>
      <c r="B22" s="36"/>
      <c r="C22" s="36"/>
      <c r="D22" s="36">
        <f>$D$18/D20</f>
        <v>22.5</v>
      </c>
      <c r="E22" s="36"/>
      <c r="F22" s="36"/>
      <c r="G22" s="36"/>
      <c r="H22" s="36"/>
      <c r="I22" s="36"/>
      <c r="J22" s="36"/>
      <c r="K22" s="36"/>
    </row>
    <row r="23" spans="1:11" x14ac:dyDescent="0.3">
      <c r="A23" s="35" t="s">
        <v>127</v>
      </c>
      <c r="B23" s="36"/>
      <c r="C23" s="36"/>
      <c r="D23" s="36">
        <f>D16/D20</f>
        <v>181.25</v>
      </c>
      <c r="E23" s="36"/>
      <c r="F23" s="36"/>
      <c r="G23" s="36"/>
      <c r="H23" s="36"/>
      <c r="I23" s="36"/>
      <c r="J23" s="36"/>
      <c r="K23" s="36"/>
    </row>
    <row r="24" spans="1:11" x14ac:dyDescent="0.3">
      <c r="A24" s="35" t="s">
        <v>128</v>
      </c>
      <c r="B24" s="36"/>
      <c r="C24" s="36"/>
      <c r="D24" s="36">
        <f>D23-D17</f>
        <v>-108.75</v>
      </c>
      <c r="E24" s="36"/>
      <c r="F24" s="36"/>
      <c r="G24" s="36"/>
      <c r="H24" s="36"/>
      <c r="I24" s="36"/>
      <c r="J24" s="36"/>
      <c r="K24" s="36"/>
    </row>
  </sheetData>
  <mergeCells count="4">
    <mergeCell ref="A3:A4"/>
    <mergeCell ref="B3:K3"/>
    <mergeCell ref="A14:A15"/>
    <mergeCell ref="B14:K1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Задание 1 исх. данные, решение</vt:lpstr>
      <vt:lpstr>Задание 1 порядок решения</vt:lpstr>
      <vt:lpstr>Задание 2 порядок работы</vt:lpstr>
      <vt:lpstr>Задание 2 исх данные, решение</vt:lpstr>
      <vt:lpstr>Задание 3 порядок работы</vt:lpstr>
      <vt:lpstr>Задание 3 исх данные, решение</vt:lpstr>
      <vt:lpstr>Задание 4 порядок работы</vt:lpstr>
      <vt:lpstr>Задание 4 исх данные, решение</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Глеб Бабашинский</cp:lastModifiedBy>
  <dcterms:created xsi:type="dcterms:W3CDTF">2024-02-21T09:04:52Z</dcterms:created>
  <dcterms:modified xsi:type="dcterms:W3CDTF">2026-03-13T08:58:16Z</dcterms:modified>
</cp:coreProperties>
</file>